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mperiallondon-my.sharepoint.com/personal/ad3716_ic_ac_uk1/Documents/Documents/WaSPP/wastewater_sim/data/raw/literature_review_results/"/>
    </mc:Choice>
  </mc:AlternateContent>
  <xr:revisionPtr revIDLastSave="3445" documentId="8_{C3E786AF-7499-45E9-A4EC-DF043D4E3490}" xr6:coauthVersionLast="47" xr6:coauthVersionMax="47" xr10:uidLastSave="{59826AC5-A053-418B-8B25-D8F4E7FABD3B}"/>
  <bookViews>
    <workbookView xWindow="-110" yWindow="-110" windowWidth="19420" windowHeight="11500" xr2:uid="{AA0B4917-C7CF-49BD-BC09-B52050CE1214}"/>
  </bookViews>
  <sheets>
    <sheet name="Sheet1" sheetId="1" r:id="rId1"/>
  </sheets>
  <definedNames>
    <definedName name="_xlnm._FilterDatabase" localSheetId="0" hidden="1">Sheet1!$A$1:$AX$98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4" i="1" l="1"/>
  <c r="I95" i="1"/>
  <c r="O95" i="1"/>
  <c r="I96" i="1"/>
  <c r="O96" i="1"/>
  <c r="I81" i="1"/>
  <c r="L25" i="1"/>
  <c r="L36" i="1"/>
  <c r="L35" i="1"/>
  <c r="L52" i="1"/>
  <c r="I52" i="1"/>
  <c r="L7" i="1"/>
  <c r="L3" i="1"/>
  <c r="Z70" i="1"/>
  <c r="Y70" i="1"/>
  <c r="Z40" i="1"/>
  <c r="T40" i="1"/>
  <c r="L39" i="1"/>
  <c r="I37" i="1"/>
  <c r="L37" i="1"/>
  <c r="O31" i="1"/>
  <c r="T51" i="1"/>
  <c r="Z51" i="1"/>
  <c r="Y51" i="1"/>
  <c r="Z59" i="1"/>
  <c r="O59" i="1"/>
  <c r="T59" i="1"/>
  <c r="W70" i="1"/>
  <c r="V70" i="1"/>
</calcChain>
</file>

<file path=xl/sharedStrings.xml><?xml version="1.0" encoding="utf-8"?>
<sst xmlns="http://schemas.openxmlformats.org/spreadsheetml/2006/main" count="3537" uniqueCount="468">
  <si>
    <t>max_VL</t>
  </si>
  <si>
    <t>variability_type</t>
  </si>
  <si>
    <t>uncertainty_type</t>
  </si>
  <si>
    <t>range_across</t>
  </si>
  <si>
    <t>sample_type</t>
  </si>
  <si>
    <t>study</t>
  </si>
  <si>
    <t>virus</t>
  </si>
  <si>
    <t>family</t>
  </si>
  <si>
    <t>n_max_VL</t>
  </si>
  <si>
    <t>days_PSO_tested</t>
  </si>
  <si>
    <t>days_PSO_positive</t>
  </si>
  <si>
    <t>setting</t>
  </si>
  <si>
    <t>notes</t>
  </si>
  <si>
    <t>doi</t>
  </si>
  <si>
    <t>https://doi.org/10.1053/jinf.2000.0782</t>
  </si>
  <si>
    <t>Chua et al 2001</t>
  </si>
  <si>
    <t>Urine</t>
  </si>
  <si>
    <t>NA</t>
  </si>
  <si>
    <t>Malaysia</t>
  </si>
  <si>
    <t>DOI: 10.1056/NEJM200004273421701</t>
  </si>
  <si>
    <t>Goh et al 2000</t>
  </si>
  <si>
    <t>https://doi.org/10.1093/cid/ciy1092</t>
  </si>
  <si>
    <t>Arunkumar et al 2019</t>
  </si>
  <si>
    <t>Kerala, India</t>
  </si>
  <si>
    <t>doi: 10.3201/eid1202.051247</t>
  </si>
  <si>
    <t>Chadha et al 2006</t>
  </si>
  <si>
    <t>2,5,8,9,10</t>
  </si>
  <si>
    <t>5,8,9,10</t>
  </si>
  <si>
    <t>Samples from outbreak retrospectively tested for NiV</t>
  </si>
  <si>
    <t>DOI: 10.1093/cid/civ951</t>
  </si>
  <si>
    <t>MERS-CoV</t>
  </si>
  <si>
    <t>Stool</t>
  </si>
  <si>
    <t>DOI: 10.1016/j.jcv.2014.07.002</t>
  </si>
  <si>
    <t>Poissy et al 2014</t>
  </si>
  <si>
    <t>France</t>
  </si>
  <si>
    <t>DOI: 10.1016/S1473-3099(13)70154-3</t>
  </si>
  <si>
    <t>Drosten et al 2013</t>
  </si>
  <si>
    <t>12,13,16</t>
  </si>
  <si>
    <t>Germany (Abu Dhabi)</t>
  </si>
  <si>
    <t>Urine stopped being positive following renal failure</t>
  </si>
  <si>
    <t>Hantaviruses</t>
  </si>
  <si>
    <t>https://doi.org/10.1371/journal.pntd.0009707</t>
  </si>
  <si>
    <t>Cho et al 2021</t>
  </si>
  <si>
    <t>HTNV</t>
  </si>
  <si>
    <t>3,6,7,7</t>
  </si>
  <si>
    <t>Republic of Korea</t>
  </si>
  <si>
    <t>DOI: 10.1086/508494</t>
  </si>
  <si>
    <t>Xiao et al 2006</t>
  </si>
  <si>
    <t>USA</t>
  </si>
  <si>
    <t>Filoviruses</t>
  </si>
  <si>
    <t>https://doi.org/10.1136/pgmj.49.574.542</t>
  </si>
  <si>
    <t>Martini 1973</t>
  </si>
  <si>
    <t>MARV</t>
  </si>
  <si>
    <t>4 to 8</t>
  </si>
  <si>
    <t>Germany &amp; Yugoslavia</t>
  </si>
  <si>
    <t>https://doi.org/10.1016/S0140-6736(14)62384-9</t>
  </si>
  <si>
    <t>Wolf et al 2015</t>
  </si>
  <si>
    <t>EBOV</t>
  </si>
  <si>
    <t>Germany (Sierra Leone)</t>
  </si>
  <si>
    <t>https://doi.org/10.1016/S1473-3099(15)00229-7</t>
  </si>
  <si>
    <t>Schibler et al 2015</t>
  </si>
  <si>
    <t>Switzerland (Sierra Leone)</t>
  </si>
  <si>
    <t>Favipiravir administered. Shedding intermittent over given duration.</t>
  </si>
  <si>
    <t>https://doi.org/10.1086/514291</t>
  </si>
  <si>
    <t>Rodriguez et al 1999</t>
  </si>
  <si>
    <t>none</t>
  </si>
  <si>
    <t>DRC (1995 outbreak)</t>
  </si>
  <si>
    <t>DOI: 10.1056/NEJMoa1409838</t>
  </si>
  <si>
    <t>Lyon et al 2014</t>
  </si>
  <si>
    <t>Patient 1: 20-28
Patient 2: 15-23</t>
  </si>
  <si>
    <t>Liberia</t>
  </si>
  <si>
    <t>https://doi.org/10.7326/M15-0530</t>
  </si>
  <si>
    <t>Liddell et al 2015</t>
  </si>
  <si>
    <t>USA (West African 2014 outbreak)</t>
  </si>
  <si>
    <t>https://doi.org/10.3201/eid2202.151395</t>
  </si>
  <si>
    <t>Janvier et al 2016</t>
  </si>
  <si>
    <t>Guinea</t>
  </si>
  <si>
    <t>The main point of the paper was to look at the degradation of the virus in urine and blood samples. For those with high Ct values &gt;30 RNA degraded within 2-4 days,but for lower Ct values it took longer, and for one individual it took as long as 24-30 days to degrade in the lab.</t>
  </si>
  <si>
    <t>https://doi.org/10.3201/eid2201.151212</t>
  </si>
  <si>
    <t>Howlett et al 2016</t>
  </si>
  <si>
    <t>41, 51, 64</t>
  </si>
  <si>
    <t>51, 64</t>
  </si>
  <si>
    <t>Sierra Leone</t>
  </si>
  <si>
    <t>https://doi.org/10.2807/1560-7917.ES2015.20.3.21017</t>
  </si>
  <si>
    <t>Moreau et al 2015</t>
  </si>
  <si>
    <t xml:space="preserve">DOI: 10.1056/NEJMoa1411677 </t>
  </si>
  <si>
    <t>Kreuels et al 2014</t>
  </si>
  <si>
    <t xml:space="preserve">https://doi.org/10.1186/s12879-015-1169-4 </t>
  </si>
  <si>
    <t>Petrosillo et al 2015</t>
  </si>
  <si>
    <t>Italy (Sierra Leone)</t>
  </si>
  <si>
    <t>Also had malaria so date symptoms started it could have been the malaria. Was tested for ebola 4 days after symptom onset</t>
  </si>
  <si>
    <t>https://doi.org/10.1086/520545</t>
  </si>
  <si>
    <t>Bausch et al 2007</t>
  </si>
  <si>
    <t>SUDV</t>
  </si>
  <si>
    <t>https://doi.org/10.1016/S2213-2600(15)00180-0</t>
  </si>
  <si>
    <t>Mora-Rillo et al 2015</t>
  </si>
  <si>
    <t>Spain (Secondary case who treated patient from Sierra Leone)</t>
  </si>
  <si>
    <t>Arenaviruses</t>
  </si>
  <si>
    <t>DOI: 10.1128/jcm.28.12.2689-2692.1990</t>
  </si>
  <si>
    <t>Lunkenheimer et al 1990</t>
  </si>
  <si>
    <t>doi: 10.3967/bes2025.014</t>
  </si>
  <si>
    <t>Feng et al 2025</t>
  </si>
  <si>
    <t>https://doi.org/10.1136/bmj.285.6347.1001</t>
  </si>
  <si>
    <t>Emond et al 1982</t>
  </si>
  <si>
    <t>UK (Nigeria)</t>
  </si>
  <si>
    <t>https://doi.org/10.1093/ofid/ofw198</t>
  </si>
  <si>
    <t>Grahn et al 2016</t>
  </si>
  <si>
    <t>28, 35, 42, 58, 72, 78</t>
  </si>
  <si>
    <t>28, 35, 42</t>
  </si>
  <si>
    <t>Sweden (Liberia)</t>
  </si>
  <si>
    <t>https://doi.org/10.1093/ofid/ofy131</t>
  </si>
  <si>
    <t>Choi et al 2018</t>
  </si>
  <si>
    <t>12, 15, 17, 19, 22, 29, 37, 51, 72</t>
  </si>
  <si>
    <t>12, 15, 17, 19, 22, 29, 37, 51</t>
  </si>
  <si>
    <t>US (Liberia)</t>
  </si>
  <si>
    <t>days PSO calculated by adding the 7 day delay from symptom onset to hosptialisation to days since hospitalisation</t>
  </si>
  <si>
    <t>https://doi.org/10.11604/pamj.2020.36.253.22104</t>
  </si>
  <si>
    <t>Salu et al 2020</t>
  </si>
  <si>
    <t>After discharge</t>
  </si>
  <si>
    <t>Ondo State, Nigeria</t>
  </si>
  <si>
    <t>https://doi.org/10.1016/s2666-5247(21)00178-6</t>
  </si>
  <si>
    <t>Thielebein et al 2022</t>
  </si>
  <si>
    <t>Edo State, Nigeria</t>
  </si>
  <si>
    <t>Nairoviruses</t>
  </si>
  <si>
    <t>DOI: 10.2807/1560-7917.ES.2020.25.10.1900284</t>
  </si>
  <si>
    <t>Yagci-Caglayik et al 2020</t>
  </si>
  <si>
    <t>CCHFV</t>
  </si>
  <si>
    <t>Turkey</t>
  </si>
  <si>
    <t>DOI: 10.1089/vbz.2011.0776</t>
  </si>
  <si>
    <t>Thomas et al 2012</t>
  </si>
  <si>
    <t>Kosova</t>
  </si>
  <si>
    <t>DOI: 10.3201/eid3008.240036</t>
  </si>
  <si>
    <t>Metanat et al 2013</t>
  </si>
  <si>
    <t>0 to 103 (most 1 to 13)</t>
  </si>
  <si>
    <t>1 to 10</t>
  </si>
  <si>
    <t>Iran</t>
  </si>
  <si>
    <t>DOI: 10.1016/j.ijid.2009.04.018</t>
  </si>
  <si>
    <t>Bodur et al 2010</t>
  </si>
  <si>
    <t>DOI: 10.1371/journal.pntd.0009718</t>
  </si>
  <si>
    <t>Sahay et al 2021</t>
  </si>
  <si>
    <t>Gujarat, India</t>
  </si>
  <si>
    <t>Togaviruses</t>
  </si>
  <si>
    <t>https://doi.org/10.1016/j.idcr.2016.10.007</t>
  </si>
  <si>
    <t>Bandiera et al 2016</t>
  </si>
  <si>
    <t>CHIKV</t>
  </si>
  <si>
    <t>Brazil</t>
  </si>
  <si>
    <t>Coinfected with Dengue</t>
  </si>
  <si>
    <t xml:space="preserve">https://doi.org/10.1186/s12985-016-0556-9 </t>
  </si>
  <si>
    <t>Musso et al 2016</t>
  </si>
  <si>
    <t>&lt;7 (n=24) and &gt;7 (n=8)</t>
  </si>
  <si>
    <t>&lt;7</t>
  </si>
  <si>
    <t>French Polynesia</t>
  </si>
  <si>
    <t>DOI: 10.34297/AJBSR.2021.12.001728</t>
  </si>
  <si>
    <t>Salles et al 2021</t>
  </si>
  <si>
    <t>https://doi.org/10.1371/journal.pntd.0010242</t>
  </si>
  <si>
    <t>Martins et al 2022</t>
  </si>
  <si>
    <t>Article used denominator of 152 but this includes 4 people who tested positive for dengue and 2 that tested positive for zika. The remianing 146 all had IgM for CHIKV so I have used 146 as the denominator in % positive etc. 
Urine more likely to be positive in females.</t>
  </si>
  <si>
    <t>https://doi.org/10.3390/v16020235</t>
  </si>
  <si>
    <t>Jacob-Nascimento et al 2024</t>
  </si>
  <si>
    <t>All negative samples were collected &lt;5 days PSO.</t>
  </si>
  <si>
    <t xml:space="preserve">https://doi.org/10.3201/eid2502.180166 </t>
  </si>
  <si>
    <t>Bozza et al 2019</t>
  </si>
  <si>
    <t>Poxviruses</t>
  </si>
  <si>
    <t>https://doi.org/10.2807/1560-7917.ES.2022.27.28.2200503</t>
  </si>
  <si>
    <t>Peiro-Mestres et al 2022</t>
  </si>
  <si>
    <t>MPXV</t>
  </si>
  <si>
    <t>1 to 16</t>
  </si>
  <si>
    <t>Barcelona, Spain</t>
  </si>
  <si>
    <t>https://doi.org/10.1016/j.tmaid.2024.102698</t>
  </si>
  <si>
    <t>Piralla et al 2024</t>
  </si>
  <si>
    <t>0 to 30 for follow-up samples. For the point of diagnosis the median was 6 days IQR 3-9.</t>
  </si>
  <si>
    <t>Lombardy, Italy</t>
  </si>
  <si>
    <t>https://doi.org/10.1016/S1473-3099(22)00228-6</t>
  </si>
  <si>
    <t>Adler et al 2022</t>
  </si>
  <si>
    <t>2 to31, 76</t>
  </si>
  <si>
    <t>3-11 intermittent for most, but up to 23 in 1</t>
  </si>
  <si>
    <t>UK</t>
  </si>
  <si>
    <t>https://doi.org/10.1002/jmv.70104</t>
  </si>
  <si>
    <t>Cordeiro et al 2024</t>
  </si>
  <si>
    <t>Portugal</t>
  </si>
  <si>
    <t xml:space="preserve">https://doi.org/10.1038/s41467-024-48754-8 </t>
  </si>
  <si>
    <t>Yang et al 2024</t>
  </si>
  <si>
    <t>1 to 21</t>
  </si>
  <si>
    <t>Shenzen, China</t>
  </si>
  <si>
    <t>https://doi.org/10.3389/fcimb.2024.1412753</t>
  </si>
  <si>
    <t>Yang et al 2024 b</t>
  </si>
  <si>
    <t>3 to 35</t>
  </si>
  <si>
    <t>9 to 15</t>
  </si>
  <si>
    <t>NA - individual trajectories unclear</t>
  </si>
  <si>
    <t>Guangzhou, China</t>
  </si>
  <si>
    <t>3 to 17</t>
  </si>
  <si>
    <t>https://doi.org/10.1016/j.ebiom.2024.105254</t>
  </si>
  <si>
    <t>Guo et al 2024</t>
  </si>
  <si>
    <t>China</t>
  </si>
  <si>
    <t>Some people had HIV which could influence shedding dynamics.
Tested urine and stool from 1-21 days PSO but only present % positivity for those collected 1-7 days PSO. Unclear on positivity rates afterwards, though fitted curve indicates positivity up to 21 days in urine</t>
  </si>
  <si>
    <t>https://doi.org/10.1016/j.jiac.2023.11.025</t>
  </si>
  <si>
    <t>Akiyama et al 2024</t>
  </si>
  <si>
    <t>NA (at enrollment)</t>
  </si>
  <si>
    <t>days 0, 3, 7, 10, 14, 21, 30, 60 and 72 days post enrollment.</t>
  </si>
  <si>
    <t>Japan</t>
  </si>
  <si>
    <t>https://doi.org/10.1016/j.ebiom.2024.105289</t>
  </si>
  <si>
    <t>Mazzotta et al 2024</t>
  </si>
  <si>
    <t>On the day of symptom resolution</t>
  </si>
  <si>
    <t>Italy</t>
  </si>
  <si>
    <t>https://doi.org/10.1093/jtm/taad111</t>
  </si>
  <si>
    <t>Kim et al 2023</t>
  </si>
  <si>
    <t>median and IQR: 6.0 (4.0–10.0)</t>
  </si>
  <si>
    <t>Meta-analysis</t>
  </si>
  <si>
    <t>https://doi.org/10.1016/s1473-3099(22)00586-2</t>
  </si>
  <si>
    <t>Palich et al 2023</t>
  </si>
  <si>
    <t>diagnosis and 14 days later</t>
  </si>
  <si>
    <t>diagnosis</t>
  </si>
  <si>
    <t>https://doi.org/10.1002/jmv.28249</t>
  </si>
  <si>
    <t>Relhan et al 2022</t>
  </si>
  <si>
    <t>India</t>
  </si>
  <si>
    <t>https://doi.org/10.1016/j.jcv.2023.105421</t>
  </si>
  <si>
    <t>Lim et al 2023</t>
  </si>
  <si>
    <t>Australia</t>
  </si>
  <si>
    <t>https://doi.org/10.1016/j.cmi.2023.05.007</t>
  </si>
  <si>
    <t>Raccagni et al 2023</t>
  </si>
  <si>
    <t>https://doi.org/10.1128/jcm.01365-22</t>
  </si>
  <si>
    <t>Gaspari et al 2023</t>
  </si>
  <si>
    <t>https://pmc.ncbi.nlm.nih.gov/articles/PMC2482928/</t>
  </si>
  <si>
    <t>Sarkar et al 1973</t>
  </si>
  <si>
    <t>severe cases had higher viral titre in the urine. PCR was not done, titre was measured in number of pock forming units per ml or urine (unclear how).</t>
  </si>
  <si>
    <t>https://doi.org/10.1007/s12250-019-00096-2</t>
  </si>
  <si>
    <t>Li et al 2019</t>
  </si>
  <si>
    <t>RVFV</t>
  </si>
  <si>
    <t>Infectious virus isolated - PCR not done on urine. Also looked at YFV patients</t>
  </si>
  <si>
    <t>https://doi.org/10.2807/1560-7917.ES.2016.21.18.30222</t>
  </si>
  <si>
    <t>Haneche et al 2016</t>
  </si>
  <si>
    <t>74, 117</t>
  </si>
  <si>
    <t>https://pmc.ncbi.nlm.nih.gov/articles/PMC2395810/</t>
  </si>
  <si>
    <t>Imam et al 1979</t>
  </si>
  <si>
    <t>Egypt</t>
  </si>
  <si>
    <t>all had haemorrhage - identification in feces suspected to be due to blood in the feces</t>
  </si>
  <si>
    <t>https://doi.org/10.1093/ofid/ofad085</t>
  </si>
  <si>
    <t>Zhang et al 2023</t>
  </si>
  <si>
    <t>https://doi.org/10.1016/j.heliyon.2024.e33611</t>
  </si>
  <si>
    <t>Hu et al 2024</t>
  </si>
  <si>
    <t>https://doi.org/10.1016/j.jcv.2016.04.018</t>
  </si>
  <si>
    <t>Jeong et al 2016</t>
  </si>
  <si>
    <t>South Korea</t>
  </si>
  <si>
    <t>Ribavirin</t>
  </si>
  <si>
    <t>NiV</t>
  </si>
  <si>
    <t>Orthomyxoviruses</t>
  </si>
  <si>
    <t>Flaviviruses</t>
  </si>
  <si>
    <t>positive_type</t>
  </si>
  <si>
    <t>8, 9</t>
  </si>
  <si>
    <t>Siliguri, West Bengal, India</t>
  </si>
  <si>
    <t>LASV</t>
  </si>
  <si>
    <t>SNV</t>
  </si>
  <si>
    <t>VARV</t>
  </si>
  <si>
    <t>confirmed_case</t>
  </si>
  <si>
    <t>4,5,2,4,4,3,5,3,4,2,4,1,5,7,7,2,7,2,5,2</t>
  </si>
  <si>
    <t>5,4,1,2,2,2</t>
  </si>
  <si>
    <t>infectious NiV was present in 5 urine samples and even at 10 microlitres of innoculum for 1 urine sample (unlike throat swabs which needed more). Authors said it appreared that no INFECTIOUS virus was isolated after 7 days.</t>
  </si>
  <si>
    <t>duration_censored</t>
  </si>
  <si>
    <t>duration_n</t>
  </si>
  <si>
    <t>Y</t>
  </si>
  <si>
    <t>min_day_PSO_tested</t>
  </si>
  <si>
    <t>max_day_PSO_tested</t>
  </si>
  <si>
    <t>min_day_PSO_positive</t>
  </si>
  <si>
    <t>max_day_PSO_positive</t>
  </si>
  <si>
    <t>PCR</t>
  </si>
  <si>
    <t>2,3,4,5,6,7,8,9,10,11</t>
  </si>
  <si>
    <t>N</t>
  </si>
  <si>
    <t>n_individuals_tested</t>
  </si>
  <si>
    <t>n_individuals_positive</t>
  </si>
  <si>
    <t>n_samples_tested</t>
  </si>
  <si>
    <t>percent_samples_positve</t>
  </si>
  <si>
    <t>percent_individuals_positive</t>
  </si>
  <si>
    <t>n_samples_positive</t>
  </si>
  <si>
    <t xml:space="preserve">NA
</t>
  </si>
  <si>
    <t>Kingdom of Saudi Arabia</t>
  </si>
  <si>
    <t>The study used date of diagnosis (positive PCR test) as day 0, we have estimated this to be 8 days PSO based on the studies finding that the mean and median delay from onset to diagnosis was 8 days in a subset of 9 patients for whom this data was available.</t>
  </si>
  <si>
    <t>The study used date of diagnosis (positive PCR test) as day 0, we have estimated this to be 8 days PSO based on the studies finding that the mean and median delay from onset to diagnosis was 8 days in a subset of 9 patients for whom this data was available. 70% of samples collected 7-11 days  PSO were positive (compared to 14.6% overall 7-28 days PSO).</t>
  </si>
  <si>
    <t>20,22,27,29,30</t>
  </si>
  <si>
    <t>20,22,27,29,30,
6,9,12,15,16,23,26,28,30</t>
  </si>
  <si>
    <t>VL_unit</t>
  </si>
  <si>
    <t>12,12,13,16</t>
  </si>
  <si>
    <t>12,12,13</t>
  </si>
  <si>
    <t>12,12,16,16,16,16,16,16</t>
  </si>
  <si>
    <t>Samples were tested days 1-5 post-hospitalisation but it is unclear what the delay from onset to hospitalisation was.</t>
  </si>
  <si>
    <t>VL_available</t>
  </si>
  <si>
    <t>virus_isolation</t>
  </si>
  <si>
    <t>Gulu, Uganda</t>
  </si>
  <si>
    <t>Intro is confusing as it suggests it is dealing with EBOV Zaire but it is SUDV</t>
  </si>
  <si>
    <t>confirmed_convalescent</t>
  </si>
  <si>
    <t>Unspecified units</t>
  </si>
  <si>
    <t>n_central_VL</t>
  </si>
  <si>
    <t>central_VL_calculated_by_us</t>
  </si>
  <si>
    <t>central_type</t>
  </si>
  <si>
    <t>central_VL</t>
  </si>
  <si>
    <t>mean</t>
  </si>
  <si>
    <t>median</t>
  </si>
  <si>
    <t>central_VL_extracted_from_figure</t>
  </si>
  <si>
    <t>copies_ml</t>
  </si>
  <si>
    <t xml:space="preserve">18
</t>
  </si>
  <si>
    <t xml:space="preserve">33
</t>
  </si>
  <si>
    <t xml:space="preserve">48
</t>
  </si>
  <si>
    <t xml:space="preserve">108
</t>
  </si>
  <si>
    <t>Tested at the point of discharge (unknown days PSO). Median hopsital stay was 11 days but we do not know the delay from onset to hospitalisation - for purposes of plotting it is asusmed to be 10 days. Median hospital stay was 11 days. All patients were given ribavirin. median and variability extracted from Supplementary Figure 5.</t>
  </si>
  <si>
    <t>Tested 3 months after discharge (unknown days PSO). Median hopsital stay was 11 days but we do not know the delay from onset to hospitalisation - for purposes of plotting it is asusmed to be 10 days. Median hospital stay was 11 days. All patients were given ribavirin. median and variability extracted from Supplementary Figure 5.</t>
  </si>
  <si>
    <t>Tested 1 month after discharge (unknown days PSO). Median hopsital stay was 11 days but we do not know the delay from onset to hospitalisation- for purposes of plotting it is asusmed to be 10 days. Median hospital stay was 11 days. All patients were given ribavirin. median and variability extracted from Supplementary Figure 5.</t>
  </si>
  <si>
    <t>Tested 0.5 months after discharge (unknown days PSO). Median hopsital stay was 11 days but we do not know the delay from onset to hospitalisation - for purposes of plotting it is asusmed to be 10 days. Median hospital stay was 11 days. All patients were given ribavirin. median and variability extracted from Supplementary Figure 5.</t>
  </si>
  <si>
    <t>individuals</t>
  </si>
  <si>
    <t>1,5,9,14,90</t>
  </si>
  <si>
    <t>39% days 8-14 PSO</t>
  </si>
  <si>
    <t>39% days 15-21 PSO</t>
  </si>
  <si>
    <t>disaggregation_by_time_available</t>
  </si>
  <si>
    <t>variability_across</t>
  </si>
  <si>
    <t>range</t>
  </si>
  <si>
    <t>variability_VL_1</t>
  </si>
  <si>
    <t>time</t>
  </si>
  <si>
    <t>1-7,8-14,15-21</t>
  </si>
  <si>
    <t>Variability (range) available by time period (1-7, 8-14, and 15-21 days PSO)</t>
  </si>
  <si>
    <t>All patients were tested at admission. Complete range of PSO not known but minimum mentioned was 5 and max was 19. Mean was 7 with standard deviation 5-8.</t>
  </si>
  <si>
    <t>iqr</t>
  </si>
  <si>
    <t>sd</t>
  </si>
  <si>
    <t>Shedding proportion much higher in patients with Acute Kidney Injury. Days PSO not availabe but all during hospitalisation.</t>
  </si>
  <si>
    <t>individuals_type</t>
  </si>
  <si>
    <t>mean calculated from the values presented in the caption of Table 1</t>
  </si>
  <si>
    <t>5,7,25</t>
  </si>
  <si>
    <t>5,6,7,22,25,27,28</t>
  </si>
  <si>
    <t>6,7,9,12,15,16,17,18,19</t>
  </si>
  <si>
    <t>6,7,9,12,16</t>
  </si>
  <si>
    <t>copies_g</t>
  </si>
  <si>
    <t>ZIKV</t>
  </si>
  <si>
    <t>DENV</t>
  </si>
  <si>
    <t>YFV</t>
  </si>
  <si>
    <t>SARS-CoV-2</t>
  </si>
  <si>
    <t>IAV</t>
  </si>
  <si>
    <t>Guan et al 2024</t>
  </si>
  <si>
    <t xml:space="preserve">https://doi.org/10.1016/j.medj.2023.11.001 </t>
  </si>
  <si>
    <t>Guangdong province, China</t>
  </si>
  <si>
    <t>To et al 2009</t>
  </si>
  <si>
    <t xml:space="preserve">https://doi.org/10.1002%2Fjmv.21664 </t>
  </si>
  <si>
    <t>Hong Kong</t>
  </si>
  <si>
    <t>studies</t>
  </si>
  <si>
    <t xml:space="preserve">https://doi.org/10.2166/wh.2023.057 </t>
  </si>
  <si>
    <t>Lowry et al 2023</t>
  </si>
  <si>
    <t>H5N6</t>
  </si>
  <si>
    <t>Patient was a child and shedding may not be representative. Pandemic H1N1.</t>
  </si>
  <si>
    <t>https://doi.org/10.1371/journal.pntd.0004816</t>
  </si>
  <si>
    <t>https://doi.org/10.3201/eid2502.180166</t>
  </si>
  <si>
    <t>https://doi.org/10.1016/S1473-3099(16)30070-6</t>
  </si>
  <si>
    <t>Bonaldo et al 2016</t>
  </si>
  <si>
    <t>https://doi.org/10.1371/journal.pntd.0004100</t>
  </si>
  <si>
    <t>https://doi.org/10.3201/eid2401.171310</t>
  </si>
  <si>
    <t>Andries et al 2015</t>
  </si>
  <si>
    <t>Barbosa et al 2018</t>
  </si>
  <si>
    <t>https://doi.org/10.1128/jcm.01775-10</t>
  </si>
  <si>
    <t>Domingo et al 2011</t>
  </si>
  <si>
    <t>vaccinated</t>
  </si>
  <si>
    <t>Rio de Janeiro, Brazil</t>
  </si>
  <si>
    <t>Mostly pregnant women</t>
  </si>
  <si>
    <t>2,3,4,5,6,7,8,9,10,11,12</t>
  </si>
  <si>
    <t>2,3,4,5,6,7,8,9,10,11,12,14,15,16</t>
  </si>
  <si>
    <t>Only left censored and only 2 days PSO.</t>
  </si>
  <si>
    <t>Cambodia</t>
  </si>
  <si>
    <t>every day during hosp. and then 1 week, 2 week, 3 weekm 1 month, 3 months post discharge</t>
  </si>
  <si>
    <t>1,2,3,4,5,6,7,8,9,10,11,12,13,14,15,16</t>
  </si>
  <si>
    <t>Disaggragation by time makes it difficult to assess denominators. Percentage positive, and range presented is in the first 16 years post fever onset. Mean viral load is calculated from presented data for the first 10 days post fevere onset.</t>
  </si>
  <si>
    <t>https://doi.org/10.1128/jcm.06557-11</t>
  </si>
  <si>
    <t>Hirayama et al 2012</t>
  </si>
  <si>
    <t>Note - percentage positive is available but ony broken down by time period.</t>
  </si>
  <si>
    <t>9.3E+06</t>
  </si>
  <si>
    <t>10,21</t>
  </si>
  <si>
    <t>10, 12</t>
  </si>
  <si>
    <t>1E+04</t>
  </si>
  <si>
    <t>samples</t>
  </si>
  <si>
    <t>0-28 for 4 healthy vaccinees and at point of admission for 18 vacinees with adverse events</t>
  </si>
  <si>
    <t>disaggregation by healthy versus adverse events available - more shedding in those experiencing adverse events.</t>
  </si>
  <si>
    <t xml:space="preserve">https://doi.org/10.1093/jrsssc/qlad011 </t>
  </si>
  <si>
    <t>Hoffman et al 2023</t>
  </si>
  <si>
    <t>95_CrI</t>
  </si>
  <si>
    <t>meta-analysis and model fitting to data from 3 longitudinal studies comprising 134 samples</t>
  </si>
  <si>
    <t>https://doi.org/10.1016/S1473-3099(24)00155-5</t>
  </si>
  <si>
    <t>copies_mg</t>
  </si>
  <si>
    <t>Thailand</t>
  </si>
  <si>
    <t>Corman et al 2016</t>
  </si>
  <si>
    <t>Coronaviruses</t>
  </si>
  <si>
    <t>range_central_VL_1</t>
  </si>
  <si>
    <t>range_central_VL_2</t>
  </si>
  <si>
    <t>variability_VL_2</t>
  </si>
  <si>
    <t>uncertainty_mean_VL_1</t>
  </si>
  <si>
    <t>uncertainty_mean_VL_2</t>
  </si>
  <si>
    <t>Note - the individuals sampled were NOT hospitalised but were all fully vaccinated individuals. Viruses spanned several variants some of which were associated with significantly increased fecal shedding. We used this paper to characterise the shape of the shedding profile of SARS-CoV-2 in feces. We excluded the two variants JN1 and BA286 with much increased shedding as these were not present in wastewater when the sars-cov-2 detection study Hewitt et al was conducted (that we use to parameterise our detection model). This exclusion left a sample size of 72 individuals.</t>
  </si>
  <si>
    <t>variants</t>
  </si>
  <si>
    <t>Picornaviruses</t>
  </si>
  <si>
    <t>PV</t>
  </si>
  <si>
    <t>https://doi.org/10.1128/jcm.02406-14</t>
  </si>
  <si>
    <t>culture_result</t>
  </si>
  <si>
    <t>0,4,11,18,25</t>
  </si>
  <si>
    <t>Dhaka, Bangladesh</t>
  </si>
  <si>
    <t>Taniuchi et al 2014</t>
  </si>
  <si>
    <t>93-100% of shedding contributed by just 7% of infants --&gt; very overdispersed. 89% of culture positive samples were PCR positive compared to 9% of culture negative samples.</t>
  </si>
  <si>
    <t>meta_analysis</t>
  </si>
  <si>
    <t>Henipaviruses</t>
  </si>
  <si>
    <t>33, 30, 11, 14, 18, 20, 23, 27, 31, 24, 27, 31, 33, 22, 25, 29, 33, 28</t>
  </si>
  <si>
    <t>Looked also at rectal swab but not stool</t>
  </si>
  <si>
    <t>SFTSV</t>
  </si>
  <si>
    <t>12,15,32,40,62</t>
  </si>
  <si>
    <t>12,15,32,40</t>
  </si>
  <si>
    <t>23, 26,30,35,44,48,55,58,63</t>
  </si>
  <si>
    <t>23, 26,30,35,44,48,55</t>
  </si>
  <si>
    <t>China (Guinea)</t>
  </si>
  <si>
    <t>Phenuiviruses</t>
  </si>
  <si>
    <t>1,1,4,6,10,11,15,18,19,25,25,34,36,40</t>
  </si>
  <si>
    <t>1,1,6,19,25,36</t>
  </si>
  <si>
    <t>France (Mali)</t>
  </si>
  <si>
    <t>China (Angola)</t>
  </si>
  <si>
    <t>12,13,14,15</t>
  </si>
  <si>
    <t>22,25,28,30,32</t>
  </si>
  <si>
    <t>22,25,28</t>
  </si>
  <si>
    <t>22,25</t>
  </si>
  <si>
    <t>5-15 for urine positive patient
just day 12 for urine negative patient</t>
  </si>
  <si>
    <t>5,6,7,8</t>
  </si>
  <si>
    <t>positive_samples</t>
  </si>
  <si>
    <t>0-5 (n=9) and 10-45 (n=2)</t>
  </si>
  <si>
    <t>The 6 tested were made up of 5 with arbovirus symptoms, but all tested positive.</t>
  </si>
  <si>
    <t>0-95</t>
  </si>
  <si>
    <t>0-95 (days 0-15 and then every 15 days after for 3 months)</t>
  </si>
  <si>
    <t>1,4,4,4,4,5,6,6,7,7,7,8,8,9,10,11,11,12,12,13,13,14,16</t>
  </si>
  <si>
    <t>1,4,4,4,4,5,6,7,7,8,11,11,16</t>
  </si>
  <si>
    <t>4,4,4,6,7,7,7,8,9,11,12,13,16</t>
  </si>
  <si>
    <t>Presents Ct values used to extrapolate viral load in stool from that in urine. Samples are from diff patients with n&lt;=2 per patient so estimations of duration are difficult. Intermitent shedding observed.</t>
  </si>
  <si>
    <t>IQR: 2.5-7 day duration</t>
  </si>
  <si>
    <t>Commutative analysis with Farazdaghi-Harris density function. Duration used is that after which 90% of patients expected to be undetectable. Median was 4 days.</t>
  </si>
  <si>
    <t>overall 1-21 with greater positivity in the second week (but % samples positive comes from the first 1-7 days)</t>
  </si>
  <si>
    <t>overall 1-16 with greater positivity in the second week (but % samples positive comes from the first 1-7 days)</t>
  </si>
  <si>
    <t>All patients were on tecovirimat as part of a efficacy study. Shedding intermitent. Unclear how many days post symptom onset enrolment took place</t>
  </si>
  <si>
    <t>n_studies</t>
  </si>
  <si>
    <t>urine shedding seemed to peak on day 7 and then gradually decrease</t>
  </si>
  <si>
    <t>Zhang et al 2016</t>
  </si>
  <si>
    <t>suspected_case</t>
  </si>
  <si>
    <t>Kaplan-Meier method to estimate median clearance</t>
  </si>
  <si>
    <t>Observed profile</t>
  </si>
  <si>
    <t>Median of the last day PSO that excretion tested positive</t>
  </si>
  <si>
    <t>Last day detected</t>
  </si>
  <si>
    <t>Viral load was in fact reported on 3 of the days but in median tissue culture infective dose/ml so we cannot include it. It peaked on day 36.</t>
  </si>
  <si>
    <t>can extract metrics from figure - 90% of people had stopped shedding by 3 months</t>
  </si>
  <si>
    <t>duration_reported</t>
  </si>
  <si>
    <t>duration_estimation_method</t>
  </si>
  <si>
    <t>DOI: 10.1056/NEJMoa1613108</t>
  </si>
  <si>
    <t>Paz-Bailey et al 2017</t>
  </si>
  <si>
    <t>11 (median) 34 (95th percentile)</t>
  </si>
  <si>
    <t>Fitted Weibull accounting for interval censoring.</t>
  </si>
  <si>
    <t>&gt;60</t>
  </si>
  <si>
    <t>Puerto Rico</t>
  </si>
  <si>
    <t>Median of fitted Weibull</t>
  </si>
  <si>
    <t>reported_duration_shedding_days</t>
  </si>
  <si>
    <t>crude_difference_duration</t>
  </si>
  <si>
    <t>Visually assessed from curve fitted using Bayesian hierarchical generalised gamma model with an exponential temporal decay function</t>
  </si>
  <si>
    <t>NA between those with and without ribavirin: 100% of those without riboviran tested positive, while 54% of those on ribavirin tested positive. Values are based on those not on ribavirin to more accrrately gaige expected shedding in the community/without clinical diagnosis. Although tests 0-19, most were between 5-14 days.</t>
  </si>
  <si>
    <t>Testing quite intermittent covering different periods acorss the patients so not possible to calculate an overall censored duration by NA.</t>
  </si>
  <si>
    <t>https://doi.org/10.1128/msphere.00132-23</t>
  </si>
  <si>
    <t>Arts et al 2023</t>
  </si>
  <si>
    <t>gene_copies_mg_dry_weight</t>
  </si>
  <si>
    <t>LOB ranged from 11.2-1,550 gc/mg dry weight. The geometric mean and sd were also given as 1.3E+04 and 18 respectively.</t>
  </si>
  <si>
    <t>San Fransisco Bay area, USA</t>
  </si>
  <si>
    <t>VL_dry_wet</t>
  </si>
  <si>
    <t>wet</t>
  </si>
  <si>
    <t>dry</t>
  </si>
  <si>
    <t>fyi</t>
  </si>
  <si>
    <t>Wannigama et al 2024 including BA.2.86 &amp; JN.1</t>
  </si>
  <si>
    <t>Wannigama et al 2024 excluding BA.2.86 &amp; JN.1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</si>
</sst>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E+00"/>
    <numFmt numFmtId="165" formatCode="0.0"/>
  </numFmts>
  <fonts count="6" x14ac:knownFonts="1">
    <font>
      <sz val="11"/>
      <color theme="1"/>
      <name val="Aptos Narrow"/>
      <family val="2"/>
      <scheme val="minor"/>
    </font>
    <font>
      <u/>
      <sz val="11"/>
      <color theme="10"/>
      <name val="Aptos Narrow"/>
      <family val="2"/>
      <scheme val="minor"/>
    </font>
    <font>
      <sz val="11"/>
      <name val="Aptos Narrow"/>
      <family val="2"/>
      <scheme val="minor"/>
    </font>
    <font>
      <sz val="8"/>
      <name val="Aptos Narrow"/>
      <family val="2"/>
      <scheme val="minor"/>
    </font>
    <font>
      <sz val="11"/>
      <color rgb="FF000000"/>
      <name val="Arial"/>
      <family val="2"/>
    </font>
    <font>
      <sz val="8"/>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0" fillId="0" borderId="0" xfId="0" applyAlignment="1">
      <alignment horizontal="left" vertical="top"/>
    </xf>
    <xf numFmtId="0" fontId="0" fillId="0" borderId="0" xfId="0" applyAlignment="1">
      <alignment vertical="top"/>
    </xf>
    <xf numFmtId="165" fontId="0" fillId="0" borderId="0" xfId="0" applyNumberFormat="1"/>
    <xf numFmtId="1" fontId="0" fillId="0" borderId="0" xfId="0" applyNumberFormat="1" applyAlignment="1">
      <alignment vertical="top"/>
    </xf>
    <xf numFmtId="1" fontId="0" fillId="0" borderId="0" xfId="0" applyNumberFormat="1"/>
    <xf numFmtId="0" fontId="2" fillId="0" borderId="0" xfId="1" applyFont="1" applyFill="1" applyBorder="1" applyAlignment="1">
      <alignment horizontal="left" vertical="top"/>
    </xf>
    <xf numFmtId="11" fontId="0" fillId="0" borderId="0" xfId="0" applyNumberFormat="1" applyAlignment="1">
      <alignment vertical="top"/>
    </xf>
    <xf numFmtId="11" fontId="0" fillId="0" borderId="0" xfId="0" applyNumberFormat="1"/>
    <xf numFmtId="0" fontId="1" fillId="0" borderId="0" xfId="1" applyFill="1" applyBorder="1" applyAlignment="1">
      <alignment horizontal="left" vertical="top" wrapText="1"/>
    </xf>
    <xf numFmtId="0" fontId="2" fillId="0" borderId="0" xfId="1"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165" fontId="0" fillId="0" borderId="0" xfId="0" applyNumberFormat="1" applyAlignment="1">
      <alignment vertical="top" wrapText="1"/>
    </xf>
    <xf numFmtId="9" fontId="0" fillId="0" borderId="0" xfId="0" applyNumberFormat="1" applyAlignment="1">
      <alignment horizontal="left" vertical="top" wrapText="1"/>
    </xf>
    <xf numFmtId="164" fontId="0" fillId="0" borderId="0" xfId="0" applyNumberFormat="1" applyAlignment="1">
      <alignment horizontal="left" vertical="top" wrapText="1"/>
    </xf>
    <xf numFmtId="1" fontId="0" fillId="0" borderId="0" xfId="0" applyNumberFormat="1" applyAlignment="1">
      <alignment horizontal="left" vertical="top" wrapText="1"/>
    </xf>
    <xf numFmtId="17" fontId="0" fillId="0" borderId="0" xfId="0" applyNumberFormat="1" applyAlignment="1">
      <alignment horizontal="left" vertical="top" wrapText="1"/>
    </xf>
    <xf numFmtId="0" fontId="1" fillId="0" borderId="0" xfId="1" applyFill="1" applyBorder="1" applyAlignment="1">
      <alignment vertical="top" wrapText="1"/>
    </xf>
    <xf numFmtId="0" fontId="1" fillId="0" borderId="0" xfId="1" applyFill="1" applyAlignment="1">
      <alignment horizontal="left" vertical="top" wrapText="1"/>
    </xf>
    <xf numFmtId="0" fontId="2" fillId="0" borderId="0" xfId="1" applyFont="1" applyFill="1" applyAlignment="1">
      <alignment horizontal="left" vertical="top" wrapText="1"/>
    </xf>
    <xf numFmtId="11" fontId="0" fillId="0" borderId="0" xfId="0" applyNumberFormat="1" applyAlignment="1">
      <alignment horizontal="left" vertical="top" wrapText="1"/>
    </xf>
    <xf numFmtId="0" fontId="1" fillId="0" borderId="0" xfId="1" applyFill="1" applyAlignment="1">
      <alignment vertical="top" wrapText="1"/>
    </xf>
    <xf numFmtId="11" fontId="0" fillId="0" borderId="0" xfId="0" applyNumberFormat="1" applyAlignment="1">
      <alignment vertical="top" wrapText="1"/>
    </xf>
    <xf numFmtId="165" fontId="0" fillId="0" borderId="0" xfId="0" applyNumberFormat="1" applyAlignment="1">
      <alignment horizontal="left" vertical="top" wrapText="1"/>
    </xf>
    <xf numFmtId="10" fontId="0" fillId="0" borderId="0" xfId="0" applyNumberFormat="1" applyAlignment="1">
      <alignment horizontal="left" vertical="top" wrapText="1"/>
    </xf>
    <xf numFmtId="165" fontId="1" fillId="0" borderId="0" xfId="1" applyNumberFormat="1" applyFill="1" applyAlignment="1">
      <alignment horizontal="left" vertical="top" wrapText="1"/>
    </xf>
    <xf numFmtId="16" fontId="0" fillId="0" borderId="0" xfId="0" applyNumberFormat="1" applyAlignment="1">
      <alignment horizontal="left" vertical="top" wrapText="1"/>
    </xf>
    <xf numFmtId="2" fontId="0" fillId="0" borderId="0" xfId="0" applyNumberFormat="1" applyAlignment="1">
      <alignment horizontal="left" vertical="top" wrapText="1"/>
    </xf>
    <xf numFmtId="0" fontId="1" fillId="0" borderId="0" xfId="1" applyFill="1"/>
    <xf numFmtId="0" fontId="1" fillId="0" borderId="0" xfId="1" applyFill="1" applyAlignment="1">
      <alignment vertical="center"/>
    </xf>
    <xf numFmtId="0" fontId="5" fillId="0" borderId="0" xfId="0" applyFont="1"/>
    <xf numFmtId="0" fontId="1" fillId="0" borderId="0" xfId="1" applyFill="1" applyAlignment="1">
      <alignment horizontal="left" vertical="top"/>
    </xf>
    <xf numFmtId="0" fontId="1" fillId="0" borderId="0" xfId="1" applyFill="1" applyAlignment="1">
      <alignment vertical="top"/>
    </xf>
    <xf numFmtId="11" fontId="0" fillId="0" borderId="0" xfId="0" applyNumberFormat="1" applyAlignment="1">
      <alignment horizontal="right"/>
    </xf>
    <xf numFmtId="164" fontId="0" fillId="0" borderId="0" xfId="0" applyNumberFormat="1" applyAlignment="1">
      <alignment horizontal="right" vertical="top" wrapText="1"/>
    </xf>
    <xf numFmtId="11" fontId="0" fillId="0" borderId="0" xfId="0" applyNumberFormat="1" applyAlignment="1">
      <alignment horizontal="right" vertical="top" wrapText="1"/>
    </xf>
    <xf numFmtId="11" fontId="4" fillId="0" borderId="0" xfId="0" applyNumberFormat="1" applyFont="1" applyAlignment="1">
      <alignment horizontal="right"/>
    </xf>
    <xf numFmtId="0" fontId="0" fillId="0" borderId="0" xfId="0" applyAlignment="1">
      <alignment horizontal="right"/>
    </xf>
    <xf numFmtId="0" fontId="0" fillId="0" borderId="0" xfId="0" applyAlignment="1">
      <alignment horizontal="right" vertical="top" wrapText="1"/>
    </xf>
    <xf numFmtId="1" fontId="0" fillId="0" borderId="0" xfId="0" applyNumberFormat="1" applyAlignment="1">
      <alignment horizontal="right"/>
    </xf>
    <xf numFmtId="1" fontId="0" fillId="0" borderId="0" xfId="0" applyNumberFormat="1" applyAlignment="1">
      <alignment horizontal="right" vertical="top" wrapText="1"/>
    </xf>
    <xf numFmtId="0" fontId="0" fillId="0" borderId="0" xfId="0" applyAlignment="1">
      <alignment horizontal="right" vertical="top"/>
    </xf>
    <xf numFmtId="0" fontId="0" fillId="0" borderId="0" xfId="0" quotePrefix="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46</xdr:col>
      <xdr:colOff>0</xdr:colOff>
      <xdr:row>49</xdr:row>
      <xdr:rowOff>0</xdr:rowOff>
    </xdr:from>
    <xdr:to>
      <xdr:col>46</xdr:col>
      <xdr:colOff>304800</xdr:colOff>
      <xdr:row>57</xdr:row>
      <xdr:rowOff>39894</xdr:rowOff>
    </xdr:to>
    <xdr:sp macro="" textlink="">
      <xdr:nvSpPr>
        <xdr:cNvPr id="2" name="AutoShape 1">
          <a:extLst>
            <a:ext uri="{FF2B5EF4-FFF2-40B4-BE49-F238E27FC236}">
              <a16:creationId xmlns:a16="http://schemas.microsoft.com/office/drawing/2014/main" id="{5738C6D0-5C16-4DAE-9B5A-456C8023BE3A}"/>
            </a:ext>
          </a:extLst>
        </xdr:cNvPr>
        <xdr:cNvSpPr>
          <a:spLocks noChangeAspect="1" noChangeArrowheads="1"/>
        </xdr:cNvSpPr>
      </xdr:nvSpPr>
      <xdr:spPr bwMode="auto">
        <a:xfrm>
          <a:off x="30467300" y="521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46</xdr:col>
      <xdr:colOff>0</xdr:colOff>
      <xdr:row>49</xdr:row>
      <xdr:rowOff>0</xdr:rowOff>
    </xdr:from>
    <xdr:to>
      <xdr:col>46</xdr:col>
      <xdr:colOff>304800</xdr:colOff>
      <xdr:row>57</xdr:row>
      <xdr:rowOff>39894</xdr:rowOff>
    </xdr:to>
    <xdr:sp macro="" textlink="">
      <xdr:nvSpPr>
        <xdr:cNvPr id="3" name="AutoShape 2">
          <a:extLst>
            <a:ext uri="{FF2B5EF4-FFF2-40B4-BE49-F238E27FC236}">
              <a16:creationId xmlns:a16="http://schemas.microsoft.com/office/drawing/2014/main" id="{67662557-817C-4C00-B0F3-96D07919C881}"/>
            </a:ext>
          </a:extLst>
        </xdr:cNvPr>
        <xdr:cNvSpPr>
          <a:spLocks noChangeAspect="1" noChangeArrowheads="1"/>
        </xdr:cNvSpPr>
      </xdr:nvSpPr>
      <xdr:spPr bwMode="auto">
        <a:xfrm>
          <a:off x="30467300" y="521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16/j.ijid.2009.04.018" TargetMode="External"/><Relationship Id="rId21" Type="http://schemas.openxmlformats.org/officeDocument/2006/relationships/hyperlink" Target="https://doi.org/10.1056/nejmoa1409838" TargetMode="External"/><Relationship Id="rId42" Type="http://schemas.openxmlformats.org/officeDocument/2006/relationships/hyperlink" Target="https://doi.org/10.1016/S2213-2600(15)00180-0" TargetMode="External"/><Relationship Id="rId47" Type="http://schemas.openxmlformats.org/officeDocument/2006/relationships/hyperlink" Target="https://doi.org/10.1016/j.ebiom.2024.105254" TargetMode="External"/><Relationship Id="rId63" Type="http://schemas.openxmlformats.org/officeDocument/2006/relationships/hyperlink" Target="https://doi.org/10.1086/514291" TargetMode="External"/><Relationship Id="rId68" Type="http://schemas.openxmlformats.org/officeDocument/2006/relationships/hyperlink" Target="https://pmc.ncbi.nlm.nih.gov/articles/PMC2395810/" TargetMode="External"/><Relationship Id="rId84" Type="http://schemas.openxmlformats.org/officeDocument/2006/relationships/hyperlink" Target="https://doi.org/10.1002%2Fjmv.21664" TargetMode="External"/><Relationship Id="rId16" Type="http://schemas.openxmlformats.org/officeDocument/2006/relationships/hyperlink" Target="https://doi.org/10.1371/journal.pntd.0009707" TargetMode="External"/><Relationship Id="rId11" Type="http://schemas.openxmlformats.org/officeDocument/2006/relationships/hyperlink" Target="https://www.nejm.org/doi/full/10.1056/NEJM200004273421701" TargetMode="External"/><Relationship Id="rId32" Type="http://schemas.openxmlformats.org/officeDocument/2006/relationships/hyperlink" Target="https://doi.org/10.1016/j.cmi.2023.05.007" TargetMode="External"/><Relationship Id="rId37" Type="http://schemas.openxmlformats.org/officeDocument/2006/relationships/hyperlink" Target="https://doi.org/10.1093/cid/civ951" TargetMode="External"/><Relationship Id="rId53" Type="http://schemas.openxmlformats.org/officeDocument/2006/relationships/hyperlink" Target="https://doi.org/10.1016/s2666-5247(21)00178-6" TargetMode="External"/><Relationship Id="rId58" Type="http://schemas.openxmlformats.org/officeDocument/2006/relationships/hyperlink" Target="https://doi.org/10.1016/S1473-3099(16)30070-6" TargetMode="External"/><Relationship Id="rId74" Type="http://schemas.openxmlformats.org/officeDocument/2006/relationships/hyperlink" Target="https://doi.org/10.1016/j.idcr.2016.10.007" TargetMode="External"/><Relationship Id="rId79" Type="http://schemas.openxmlformats.org/officeDocument/2006/relationships/hyperlink" Target="https://doi.org/10.1016/j.ebiom.2024.105289" TargetMode="External"/><Relationship Id="rId5" Type="http://schemas.openxmlformats.org/officeDocument/2006/relationships/hyperlink" Target="https://doi.org/10.1016/S2213-2600(15)00180-0" TargetMode="External"/><Relationship Id="rId19" Type="http://schemas.openxmlformats.org/officeDocument/2006/relationships/hyperlink" Target="https://doi.org/10.3201/eid2201.151212" TargetMode="External"/><Relationship Id="rId14" Type="http://schemas.openxmlformats.org/officeDocument/2006/relationships/hyperlink" Target="https://doi.org/10.1093/cid/civ951" TargetMode="External"/><Relationship Id="rId22" Type="http://schemas.openxmlformats.org/officeDocument/2006/relationships/hyperlink" Target="https://doi.org/10.1186/s12985-016-0556-9" TargetMode="External"/><Relationship Id="rId27" Type="http://schemas.openxmlformats.org/officeDocument/2006/relationships/hyperlink" Target="https://doi.org/10.1089/vbz.2011.0776" TargetMode="External"/><Relationship Id="rId30" Type="http://schemas.openxmlformats.org/officeDocument/2006/relationships/hyperlink" Target="https://doi.org/10.1093/ofid/ofad085" TargetMode="External"/><Relationship Id="rId35" Type="http://schemas.openxmlformats.org/officeDocument/2006/relationships/hyperlink" Target="https://doi.org/10.1016/j.jiac.2023.11.025" TargetMode="External"/><Relationship Id="rId43" Type="http://schemas.openxmlformats.org/officeDocument/2006/relationships/hyperlink" Target="https://doi.org/10.1093/ofid/ofw198" TargetMode="External"/><Relationship Id="rId48" Type="http://schemas.openxmlformats.org/officeDocument/2006/relationships/hyperlink" Target="https://doi.org/10.1016/j.heliyon.2024.e33611" TargetMode="External"/><Relationship Id="rId56" Type="http://schemas.openxmlformats.org/officeDocument/2006/relationships/hyperlink" Target="https://doi.org/10.1186/s12879-015-1169-4" TargetMode="External"/><Relationship Id="rId64" Type="http://schemas.openxmlformats.org/officeDocument/2006/relationships/hyperlink" Target="https://doi.org/10.1128/jcm.02406-14" TargetMode="External"/><Relationship Id="rId69" Type="http://schemas.openxmlformats.org/officeDocument/2006/relationships/hyperlink" Target="https://doi.org/10.1016/j.jcv.2016.04.018" TargetMode="External"/><Relationship Id="rId77" Type="http://schemas.openxmlformats.org/officeDocument/2006/relationships/hyperlink" Target="https://doi.org/10.1002/jmv.70104" TargetMode="External"/><Relationship Id="rId8" Type="http://schemas.openxmlformats.org/officeDocument/2006/relationships/hyperlink" Target="https://doi.org/10.3389/fcimb.2024.1412753" TargetMode="External"/><Relationship Id="rId51" Type="http://schemas.openxmlformats.org/officeDocument/2006/relationships/hyperlink" Target="https://doi.org/10.1086/520545" TargetMode="External"/><Relationship Id="rId72" Type="http://schemas.openxmlformats.org/officeDocument/2006/relationships/hyperlink" Target="https://doi.org/10.2807/1560-7917.ES2015.20.3.21017" TargetMode="External"/><Relationship Id="rId80" Type="http://schemas.openxmlformats.org/officeDocument/2006/relationships/hyperlink" Target="https://doi.org/10.1093/jtm/taad111" TargetMode="External"/><Relationship Id="rId85" Type="http://schemas.openxmlformats.org/officeDocument/2006/relationships/hyperlink" Target="https://doi.org/10.2166/wh.2023.057" TargetMode="External"/><Relationship Id="rId3" Type="http://schemas.openxmlformats.org/officeDocument/2006/relationships/hyperlink" Target="https://doi.org/10.1016/S0140-6736(14)62384-9" TargetMode="External"/><Relationship Id="rId12" Type="http://schemas.openxmlformats.org/officeDocument/2006/relationships/hyperlink" Target="https://doi.org/10.1093/cid/ciy1092" TargetMode="External"/><Relationship Id="rId17" Type="http://schemas.openxmlformats.org/officeDocument/2006/relationships/hyperlink" Target="https://doi.org/10.1186/s12879-015-1169-4" TargetMode="External"/><Relationship Id="rId25" Type="http://schemas.openxmlformats.org/officeDocument/2006/relationships/hyperlink" Target="https://doi.org/10.3201/eid3008.240036" TargetMode="External"/><Relationship Id="rId33" Type="http://schemas.openxmlformats.org/officeDocument/2006/relationships/hyperlink" Target="https://doi.org/10.1002/jmv.28249" TargetMode="External"/><Relationship Id="rId38" Type="http://schemas.openxmlformats.org/officeDocument/2006/relationships/hyperlink" Target="https://pubmed.ncbi.nlm.nih.gov/23782859/" TargetMode="External"/><Relationship Id="rId46" Type="http://schemas.openxmlformats.org/officeDocument/2006/relationships/hyperlink" Target="https://doi.org/10.3389/fcimb.2024.1412753" TargetMode="External"/><Relationship Id="rId59" Type="http://schemas.openxmlformats.org/officeDocument/2006/relationships/hyperlink" Target="https://doi.org/10.1371/journal.pntd.0004100" TargetMode="External"/><Relationship Id="rId67" Type="http://schemas.openxmlformats.org/officeDocument/2006/relationships/hyperlink" Target="https://doi.org/10.2807/1560-7917.ES.2016.21.18.30222" TargetMode="External"/><Relationship Id="rId20" Type="http://schemas.openxmlformats.org/officeDocument/2006/relationships/hyperlink" Target="https://doi.org/10.3201/eid2202.151395" TargetMode="External"/><Relationship Id="rId41" Type="http://schemas.openxmlformats.org/officeDocument/2006/relationships/hyperlink" Target="https://doi.org/10.1086/520545" TargetMode="External"/><Relationship Id="rId54" Type="http://schemas.openxmlformats.org/officeDocument/2006/relationships/hyperlink" Target="https://doi.org/10.1016/s2666-5247(21)00178-6" TargetMode="External"/><Relationship Id="rId62" Type="http://schemas.openxmlformats.org/officeDocument/2006/relationships/hyperlink" Target="https://doi.org/10.3201/eid2502.180166" TargetMode="External"/><Relationship Id="rId70" Type="http://schemas.openxmlformats.org/officeDocument/2006/relationships/hyperlink" Target="https://doi.org/10.11604/pamj.2020.36.253.22104" TargetMode="External"/><Relationship Id="rId75" Type="http://schemas.openxmlformats.org/officeDocument/2006/relationships/hyperlink" Target="https://doi.org/10.1371/journal.pntd.0010242" TargetMode="External"/><Relationship Id="rId83" Type="http://schemas.openxmlformats.org/officeDocument/2006/relationships/hyperlink" Target="https://doi.org/10.1016/j.medj.2023.11.001" TargetMode="External"/><Relationship Id="rId1" Type="http://schemas.openxmlformats.org/officeDocument/2006/relationships/hyperlink" Target="https://pubmed.ncbi.nlm.nih.gov/25073585/" TargetMode="External"/><Relationship Id="rId6" Type="http://schemas.openxmlformats.org/officeDocument/2006/relationships/hyperlink" Target="https://pubmed.ncbi.nlm.nih.gov/32183931/" TargetMode="External"/><Relationship Id="rId15" Type="http://schemas.openxmlformats.org/officeDocument/2006/relationships/hyperlink" Target="https://doi.org/10.1086/508494" TargetMode="External"/><Relationship Id="rId23" Type="http://schemas.openxmlformats.org/officeDocument/2006/relationships/hyperlink" Target="http://dx.doi.org/10.34297/AJBSR.2021.12.001728" TargetMode="External"/><Relationship Id="rId28" Type="http://schemas.openxmlformats.org/officeDocument/2006/relationships/hyperlink" Target="https://doi.org/10.1371/journal.pntd.0009718" TargetMode="External"/><Relationship Id="rId36" Type="http://schemas.openxmlformats.org/officeDocument/2006/relationships/hyperlink" Target="https://doi.org/10.1016/S1473-3099(22)00228-6" TargetMode="External"/><Relationship Id="rId49" Type="http://schemas.openxmlformats.org/officeDocument/2006/relationships/hyperlink" Target="https://doi.org/10.1053/jinf.2000.0782" TargetMode="External"/><Relationship Id="rId57" Type="http://schemas.openxmlformats.org/officeDocument/2006/relationships/hyperlink" Target="https://doi.org/10.1371/journal.pntd.0004816" TargetMode="External"/><Relationship Id="rId10" Type="http://schemas.openxmlformats.org/officeDocument/2006/relationships/hyperlink" Target="https://doi.org/10.1016/j.heliyon.2024.e33611" TargetMode="External"/><Relationship Id="rId31" Type="http://schemas.openxmlformats.org/officeDocument/2006/relationships/hyperlink" Target="https://doi.org/10.1128/jcm.01365-22" TargetMode="External"/><Relationship Id="rId44" Type="http://schemas.openxmlformats.org/officeDocument/2006/relationships/hyperlink" Target="https://pubmed.ncbi.nlm.nih.gov/32183931/" TargetMode="External"/><Relationship Id="rId52" Type="http://schemas.openxmlformats.org/officeDocument/2006/relationships/hyperlink" Target="https://doi.org/10.1016/s2666-5247(21)00178-6" TargetMode="External"/><Relationship Id="rId60" Type="http://schemas.openxmlformats.org/officeDocument/2006/relationships/hyperlink" Target="https://doi.org/10.1128/jcm.01775-10" TargetMode="External"/><Relationship Id="rId65" Type="http://schemas.openxmlformats.org/officeDocument/2006/relationships/hyperlink" Target="https://doi.org/10.1093/ofid/ofy131" TargetMode="External"/><Relationship Id="rId73" Type="http://schemas.openxmlformats.org/officeDocument/2006/relationships/hyperlink" Target="https://doi.org/10.1016/j.idcr.2016.10.007" TargetMode="External"/><Relationship Id="rId78" Type="http://schemas.openxmlformats.org/officeDocument/2006/relationships/hyperlink" Target="https://doi.org/10.1002/jmv.70104" TargetMode="External"/><Relationship Id="rId81" Type="http://schemas.openxmlformats.org/officeDocument/2006/relationships/hyperlink" Target="https://pmc.ncbi.nlm.nih.gov/articles/PMC2482928/" TargetMode="External"/><Relationship Id="rId86" Type="http://schemas.openxmlformats.org/officeDocument/2006/relationships/hyperlink" Target="https://doi.org/10.1002%2Fjmv.21664" TargetMode="External"/><Relationship Id="rId4" Type="http://schemas.openxmlformats.org/officeDocument/2006/relationships/hyperlink" Target="https://doi.org/10.1016/S1473-3099(15)00229-7" TargetMode="External"/><Relationship Id="rId9" Type="http://schemas.openxmlformats.org/officeDocument/2006/relationships/hyperlink" Target="https://doi.org/10.1016/j.ebiom.2024.105254" TargetMode="External"/><Relationship Id="rId13" Type="http://schemas.openxmlformats.org/officeDocument/2006/relationships/hyperlink" Target="https://doi.org/10.3201/eid1202.051247" TargetMode="External"/><Relationship Id="rId18" Type="http://schemas.openxmlformats.org/officeDocument/2006/relationships/hyperlink" Target="https://doi.org/10.1086/520545" TargetMode="External"/><Relationship Id="rId39" Type="http://schemas.openxmlformats.org/officeDocument/2006/relationships/hyperlink" Target="https://doi.org/10.1016/S0140-6736(14)62384-9" TargetMode="External"/><Relationship Id="rId34" Type="http://schemas.openxmlformats.org/officeDocument/2006/relationships/hyperlink" Target="https://doi.org/10.1016/s1473-3099(22)00586-2" TargetMode="External"/><Relationship Id="rId50" Type="http://schemas.openxmlformats.org/officeDocument/2006/relationships/hyperlink" Target="https://doi.org/10.1136/pgmj.49.574.542" TargetMode="External"/><Relationship Id="rId55" Type="http://schemas.openxmlformats.org/officeDocument/2006/relationships/hyperlink" Target="https://doi.org/10.1038/s41467-024-48754-8" TargetMode="External"/><Relationship Id="rId76" Type="http://schemas.openxmlformats.org/officeDocument/2006/relationships/hyperlink" Target="https://doi.org/10.1016/j.tmaid.2024.102698" TargetMode="External"/><Relationship Id="rId7" Type="http://schemas.openxmlformats.org/officeDocument/2006/relationships/hyperlink" Target="https://doi.org/10.2807/1560-7917.ES.2022.27.28.2200503" TargetMode="External"/><Relationship Id="rId71" Type="http://schemas.openxmlformats.org/officeDocument/2006/relationships/hyperlink" Target="https://doi.org/10.7326/M15-0530" TargetMode="External"/><Relationship Id="rId2" Type="http://schemas.openxmlformats.org/officeDocument/2006/relationships/hyperlink" Target="https://pubmed.ncbi.nlm.nih.gov/23782859/" TargetMode="External"/><Relationship Id="rId29" Type="http://schemas.openxmlformats.org/officeDocument/2006/relationships/hyperlink" Target="https://doi.org/10.1016/s2666-5247(21)00178-6" TargetMode="External"/><Relationship Id="rId24" Type="http://schemas.openxmlformats.org/officeDocument/2006/relationships/hyperlink" Target="https://doi.org/10.3201/eid2502.180166" TargetMode="External"/><Relationship Id="rId40" Type="http://schemas.openxmlformats.org/officeDocument/2006/relationships/hyperlink" Target="https://doi.org/10.1016/S1473-3099(15)00229-7" TargetMode="External"/><Relationship Id="rId45" Type="http://schemas.openxmlformats.org/officeDocument/2006/relationships/hyperlink" Target="https://doi.org/10.2807/1560-7917.ES.2022.27.28.2200503" TargetMode="External"/><Relationship Id="rId66" Type="http://schemas.openxmlformats.org/officeDocument/2006/relationships/hyperlink" Target="https://doi.org/10.1007/s12250-019-00096-2" TargetMode="External"/><Relationship Id="rId87" Type="http://schemas.openxmlformats.org/officeDocument/2006/relationships/drawing" Target="../drawings/drawing1.xml"/><Relationship Id="rId61" Type="http://schemas.openxmlformats.org/officeDocument/2006/relationships/hyperlink" Target="https://doi.org/10.3201/eid2401.171310" TargetMode="External"/><Relationship Id="rId82" Type="http://schemas.openxmlformats.org/officeDocument/2006/relationships/hyperlink" Target="https://doi.org/10.1093/jrsssc/qlad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74AA-47CA-4934-BF30-49AB38076E1C}">
  <dimension ref="A1:AX98"/>
  <sheetViews>
    <sheetView tabSelected="1" topLeftCell="B1" zoomScaleNormal="100" workbookViewId="0">
      <pane ySplit="1" topLeftCell="A88" activePane="bottomLeft" state="frozen"/>
      <selection pane="bottomLeft" activeCell="C91" sqref="C91"/>
    </sheetView>
  </sheetViews>
  <sheetFormatPr defaultRowHeight="14.5" x14ac:dyDescent="0.35"/>
  <cols>
    <col min="1" max="1" width="16.1796875" style="2" bestFit="1" customWidth="1"/>
    <col min="2" max="2" width="34.7265625" style="2" customWidth="1"/>
    <col min="3" max="3" width="17.7265625" style="1" customWidth="1"/>
    <col min="4" max="4" width="17.54296875" customWidth="1"/>
    <col min="5" max="5" width="11" bestFit="1" customWidth="1"/>
    <col min="6" max="6" width="17.453125" bestFit="1" customWidth="1"/>
    <col min="7" max="7" width="15.54296875" style="2" bestFit="1" customWidth="1"/>
    <col min="8" max="8" width="18.453125" customWidth="1"/>
    <col min="9" max="9" width="24.81640625" style="3" customWidth="1"/>
    <col min="10" max="10" width="15.54296875" customWidth="1"/>
    <col min="11" max="11" width="24.1796875" customWidth="1"/>
    <col min="12" max="12" width="9.1796875" customWidth="1"/>
    <col min="13" max="14" width="12.81640625" customWidth="1"/>
    <col min="15" max="15" width="12" style="34" customWidth="1"/>
    <col min="16" max="16" width="12" customWidth="1"/>
    <col min="17" max="19" width="11.7265625" style="2" customWidth="1"/>
    <col min="20" max="20" width="13.54296875" customWidth="1"/>
    <col min="21" max="21" width="9.1796875" style="4" customWidth="1"/>
    <col min="22" max="23" width="9.1796875" style="7" customWidth="1"/>
    <col min="24" max="24" width="11.54296875" style="2" customWidth="1"/>
    <col min="25" max="26" width="16.453125" style="7" customWidth="1"/>
    <col min="27" max="28" width="12.81640625" style="2" customWidth="1"/>
    <col min="29" max="29" width="18.453125" style="2" customWidth="1"/>
    <col min="30" max="30" width="24.1796875" style="2" customWidth="1"/>
    <col min="31" max="31" width="17.7265625" style="2" customWidth="1"/>
    <col min="32" max="32" width="33.7265625" style="2" customWidth="1"/>
    <col min="33" max="34" width="10.453125" customWidth="1"/>
    <col min="35" max="35" width="22.7265625" customWidth="1"/>
    <col min="36" max="37" width="8.7265625" style="5"/>
    <col min="38" max="38" width="32.453125" customWidth="1"/>
    <col min="39" max="40" width="8.7265625" style="5"/>
    <col min="41" max="41" width="12.81640625" style="2" customWidth="1"/>
    <col min="42" max="42" width="14.54296875" style="2" bestFit="1" customWidth="1"/>
    <col min="43" max="43" width="30.81640625" bestFit="1" customWidth="1"/>
    <col min="44" max="44" width="30.81640625" customWidth="1"/>
    <col min="45" max="45" width="12.81640625" style="2" bestFit="1" customWidth="1"/>
    <col min="46" max="46" width="16" style="2" bestFit="1" customWidth="1"/>
    <col min="47" max="47" width="16.1796875" customWidth="1"/>
    <col min="48" max="49" width="10.26953125" customWidth="1"/>
    <col min="50" max="50" width="133.26953125" customWidth="1"/>
  </cols>
  <sheetData>
    <row r="1" spans="1:50" x14ac:dyDescent="0.35">
      <c r="A1" s="2" t="s">
        <v>7</v>
      </c>
      <c r="B1" s="2" t="s">
        <v>13</v>
      </c>
      <c r="C1" s="1" t="s">
        <v>5</v>
      </c>
      <c r="D1" t="s">
        <v>6</v>
      </c>
      <c r="E1" t="s">
        <v>4</v>
      </c>
      <c r="F1" t="s">
        <v>267</v>
      </c>
      <c r="G1" s="2" t="s">
        <v>321</v>
      </c>
      <c r="H1" t="s">
        <v>268</v>
      </c>
      <c r="I1" s="3" t="s">
        <v>271</v>
      </c>
      <c r="J1" t="s">
        <v>269</v>
      </c>
      <c r="K1" t="s">
        <v>272</v>
      </c>
      <c r="L1" t="s">
        <v>270</v>
      </c>
      <c r="M1" t="s">
        <v>247</v>
      </c>
      <c r="N1" t="s">
        <v>284</v>
      </c>
      <c r="O1" s="34" t="s">
        <v>293</v>
      </c>
      <c r="P1" t="s">
        <v>292</v>
      </c>
      <c r="Q1" s="2" t="s">
        <v>290</v>
      </c>
      <c r="R1" s="2" t="s">
        <v>291</v>
      </c>
      <c r="S1" s="2" t="s">
        <v>296</v>
      </c>
      <c r="T1" t="s">
        <v>0</v>
      </c>
      <c r="U1" s="4" t="s">
        <v>8</v>
      </c>
      <c r="V1" s="7" t="s">
        <v>383</v>
      </c>
      <c r="W1" s="7" t="s">
        <v>384</v>
      </c>
      <c r="X1" s="2" t="s">
        <v>3</v>
      </c>
      <c r="Y1" s="7" t="s">
        <v>313</v>
      </c>
      <c r="Z1" s="7" t="s">
        <v>385</v>
      </c>
      <c r="AA1" s="2" t="s">
        <v>1</v>
      </c>
      <c r="AB1" s="2" t="s">
        <v>311</v>
      </c>
      <c r="AC1" s="2" t="s">
        <v>386</v>
      </c>
      <c r="AD1" s="2" t="s">
        <v>387</v>
      </c>
      <c r="AE1" s="2" t="s">
        <v>2</v>
      </c>
      <c r="AF1" s="2" t="s">
        <v>310</v>
      </c>
      <c r="AG1" t="s">
        <v>279</v>
      </c>
      <c r="AH1" s="2" t="s">
        <v>462</v>
      </c>
      <c r="AI1" t="s">
        <v>9</v>
      </c>
      <c r="AJ1" s="4" t="s">
        <v>260</v>
      </c>
      <c r="AK1" s="4" t="s">
        <v>261</v>
      </c>
      <c r="AL1" t="s">
        <v>10</v>
      </c>
      <c r="AM1" s="4" t="s">
        <v>262</v>
      </c>
      <c r="AN1" s="4" t="s">
        <v>263</v>
      </c>
      <c r="AO1" s="2" t="s">
        <v>443</v>
      </c>
      <c r="AP1" s="2" t="s">
        <v>444</v>
      </c>
      <c r="AQ1" t="s">
        <v>452</v>
      </c>
      <c r="AR1" t="s">
        <v>453</v>
      </c>
      <c r="AS1" s="2" t="s">
        <v>258</v>
      </c>
      <c r="AT1" s="2" t="s">
        <v>257</v>
      </c>
      <c r="AU1" t="s">
        <v>11</v>
      </c>
      <c r="AV1" s="2" t="s">
        <v>398</v>
      </c>
      <c r="AW1" s="2" t="s">
        <v>433</v>
      </c>
      <c r="AX1" t="s">
        <v>12</v>
      </c>
    </row>
    <row r="2" spans="1:50" ht="29" x14ac:dyDescent="0.35">
      <c r="A2" s="2" t="s">
        <v>97</v>
      </c>
      <c r="B2" s="9" t="s">
        <v>98</v>
      </c>
      <c r="C2" s="10" t="s">
        <v>99</v>
      </c>
      <c r="D2" s="11" t="s">
        <v>250</v>
      </c>
      <c r="E2" s="12" t="s">
        <v>16</v>
      </c>
      <c r="F2" s="12">
        <v>5</v>
      </c>
      <c r="G2" s="2" t="s">
        <v>253</v>
      </c>
      <c r="H2" s="12">
        <v>4</v>
      </c>
      <c r="I2" s="13">
        <v>80</v>
      </c>
      <c r="J2" s="12" t="s">
        <v>17</v>
      </c>
      <c r="K2" s="12" t="s">
        <v>17</v>
      </c>
      <c r="L2" s="12" t="s">
        <v>17</v>
      </c>
      <c r="M2" s="14" t="s">
        <v>264</v>
      </c>
      <c r="N2" s="14" t="s">
        <v>266</v>
      </c>
      <c r="O2" s="35" t="s">
        <v>17</v>
      </c>
      <c r="P2" s="15" t="s">
        <v>17</v>
      </c>
      <c r="Q2" s="15" t="s">
        <v>17</v>
      </c>
      <c r="R2" s="15" t="s">
        <v>17</v>
      </c>
      <c r="S2" s="2" t="s">
        <v>17</v>
      </c>
      <c r="T2" s="15" t="s">
        <v>17</v>
      </c>
      <c r="U2" s="15" t="s">
        <v>17</v>
      </c>
      <c r="V2" s="15" t="s">
        <v>17</v>
      </c>
      <c r="W2" s="15" t="s">
        <v>17</v>
      </c>
      <c r="X2" s="15" t="s">
        <v>17</v>
      </c>
      <c r="Y2" s="15" t="s">
        <v>17</v>
      </c>
      <c r="Z2" s="15" t="s">
        <v>17</v>
      </c>
      <c r="AA2" s="15" t="s">
        <v>17</v>
      </c>
      <c r="AB2" s="15" t="s">
        <v>17</v>
      </c>
      <c r="AC2" s="15" t="s">
        <v>17</v>
      </c>
      <c r="AD2" s="15" t="s">
        <v>17</v>
      </c>
      <c r="AE2" s="15" t="s">
        <v>17</v>
      </c>
      <c r="AF2" s="15" t="s">
        <v>17</v>
      </c>
      <c r="AG2" s="15" t="s">
        <v>17</v>
      </c>
      <c r="AH2" s="15"/>
      <c r="AI2" s="11" t="s">
        <v>403</v>
      </c>
      <c r="AJ2" s="16">
        <v>12</v>
      </c>
      <c r="AK2" s="16">
        <v>66</v>
      </c>
      <c r="AL2" s="17" t="s">
        <v>404</v>
      </c>
      <c r="AM2" s="16">
        <v>12</v>
      </c>
      <c r="AN2" s="16">
        <v>40</v>
      </c>
      <c r="AO2" s="2" t="s">
        <v>266</v>
      </c>
      <c r="AP2" s="2" t="s">
        <v>17</v>
      </c>
      <c r="AQ2" t="s">
        <v>17</v>
      </c>
      <c r="AR2" s="16">
        <v>28</v>
      </c>
      <c r="AS2" s="2">
        <v>4</v>
      </c>
      <c r="AT2" s="2" t="s">
        <v>259</v>
      </c>
      <c r="AU2" s="12" t="s">
        <v>70</v>
      </c>
      <c r="AV2" s="12"/>
      <c r="AW2" s="12"/>
      <c r="AX2" s="12"/>
    </row>
    <row r="3" spans="1:50" ht="29" x14ac:dyDescent="0.35">
      <c r="A3" s="2" t="s">
        <v>97</v>
      </c>
      <c r="B3" s="9" t="s">
        <v>100</v>
      </c>
      <c r="C3" s="10" t="s">
        <v>101</v>
      </c>
      <c r="D3" s="11" t="s">
        <v>250</v>
      </c>
      <c r="E3" s="12" t="s">
        <v>16</v>
      </c>
      <c r="F3" s="12">
        <v>1</v>
      </c>
      <c r="G3" s="2" t="s">
        <v>253</v>
      </c>
      <c r="H3" s="12">
        <v>1</v>
      </c>
      <c r="I3" s="13">
        <v>100</v>
      </c>
      <c r="J3" s="12">
        <v>9</v>
      </c>
      <c r="K3" s="12">
        <v>7</v>
      </c>
      <c r="L3" s="12">
        <f>100*K3/J3</f>
        <v>77.777777777777771</v>
      </c>
      <c r="M3" s="14" t="s">
        <v>264</v>
      </c>
      <c r="N3" s="14" t="s">
        <v>266</v>
      </c>
      <c r="O3" s="35" t="s">
        <v>17</v>
      </c>
      <c r="P3" s="15" t="s">
        <v>17</v>
      </c>
      <c r="Q3" s="15" t="s">
        <v>17</v>
      </c>
      <c r="R3" s="15" t="s">
        <v>17</v>
      </c>
      <c r="S3" s="2" t="s">
        <v>17</v>
      </c>
      <c r="T3" s="15" t="s">
        <v>17</v>
      </c>
      <c r="U3" s="15" t="s">
        <v>17</v>
      </c>
      <c r="V3" s="15" t="s">
        <v>17</v>
      </c>
      <c r="W3" s="15" t="s">
        <v>17</v>
      </c>
      <c r="X3" s="15" t="s">
        <v>17</v>
      </c>
      <c r="Y3" s="15" t="s">
        <v>17</v>
      </c>
      <c r="Z3" s="15" t="s">
        <v>17</v>
      </c>
      <c r="AA3" s="15" t="s">
        <v>17</v>
      </c>
      <c r="AB3" s="15" t="s">
        <v>17</v>
      </c>
      <c r="AC3" s="15" t="s">
        <v>17</v>
      </c>
      <c r="AD3" s="15" t="s">
        <v>17</v>
      </c>
      <c r="AE3" s="15" t="s">
        <v>17</v>
      </c>
      <c r="AF3" s="15" t="s">
        <v>17</v>
      </c>
      <c r="AG3" s="15" t="s">
        <v>17</v>
      </c>
      <c r="AH3" s="15"/>
      <c r="AI3" s="11" t="s">
        <v>405</v>
      </c>
      <c r="AJ3" s="16">
        <v>23</v>
      </c>
      <c r="AK3" s="16">
        <v>63</v>
      </c>
      <c r="AL3" s="11" t="s">
        <v>406</v>
      </c>
      <c r="AM3" s="16">
        <v>23</v>
      </c>
      <c r="AN3" s="16">
        <v>55</v>
      </c>
      <c r="AO3" s="2" t="s">
        <v>266</v>
      </c>
      <c r="AP3" s="2" t="s">
        <v>17</v>
      </c>
      <c r="AQ3" t="s">
        <v>17</v>
      </c>
      <c r="AR3" s="16">
        <v>40</v>
      </c>
      <c r="AS3" s="2">
        <v>1</v>
      </c>
      <c r="AT3" s="2" t="s">
        <v>259</v>
      </c>
      <c r="AU3" s="12" t="s">
        <v>407</v>
      </c>
      <c r="AV3" s="12"/>
      <c r="AW3" s="12"/>
      <c r="AX3" s="12"/>
    </row>
    <row r="4" spans="1:50" ht="29" x14ac:dyDescent="0.35">
      <c r="A4" s="2" t="s">
        <v>97</v>
      </c>
      <c r="B4" s="18" t="s">
        <v>102</v>
      </c>
      <c r="C4" s="10" t="s">
        <v>103</v>
      </c>
      <c r="D4" s="11" t="s">
        <v>250</v>
      </c>
      <c r="E4" s="12" t="s">
        <v>16</v>
      </c>
      <c r="F4" s="12">
        <v>1</v>
      </c>
      <c r="G4" s="2" t="s">
        <v>253</v>
      </c>
      <c r="H4" s="12">
        <v>1</v>
      </c>
      <c r="I4" s="13">
        <v>100</v>
      </c>
      <c r="J4" s="12" t="s">
        <v>17</v>
      </c>
      <c r="K4" s="12" t="s">
        <v>17</v>
      </c>
      <c r="L4" s="12" t="s">
        <v>17</v>
      </c>
      <c r="M4" s="14" t="s">
        <v>285</v>
      </c>
      <c r="N4" s="14" t="s">
        <v>266</v>
      </c>
      <c r="O4" s="35" t="s">
        <v>17</v>
      </c>
      <c r="P4" s="15" t="s">
        <v>17</v>
      </c>
      <c r="Q4" s="15" t="s">
        <v>17</v>
      </c>
      <c r="R4" s="15" t="s">
        <v>17</v>
      </c>
      <c r="S4" s="2" t="s">
        <v>17</v>
      </c>
      <c r="T4" s="15" t="s">
        <v>17</v>
      </c>
      <c r="U4" s="15" t="s">
        <v>17</v>
      </c>
      <c r="V4" s="15" t="s">
        <v>17</v>
      </c>
      <c r="W4" s="15" t="s">
        <v>17</v>
      </c>
      <c r="X4" s="15" t="s">
        <v>17</v>
      </c>
      <c r="Y4" s="15" t="s">
        <v>17</v>
      </c>
      <c r="Z4" s="15" t="s">
        <v>17</v>
      </c>
      <c r="AA4" s="15" t="s">
        <v>17</v>
      </c>
      <c r="AB4" s="15" t="s">
        <v>17</v>
      </c>
      <c r="AC4" s="15" t="s">
        <v>17</v>
      </c>
      <c r="AD4" s="15" t="s">
        <v>17</v>
      </c>
      <c r="AE4" s="15" t="s">
        <v>17</v>
      </c>
      <c r="AF4" s="15" t="s">
        <v>17</v>
      </c>
      <c r="AG4" s="15" t="s">
        <v>17</v>
      </c>
      <c r="AH4" s="15"/>
      <c r="AI4" s="11" t="s">
        <v>17</v>
      </c>
      <c r="AJ4" s="16">
        <v>12</v>
      </c>
      <c r="AK4" s="16">
        <v>67</v>
      </c>
      <c r="AL4" s="17" t="s">
        <v>17</v>
      </c>
      <c r="AM4" s="16">
        <v>22</v>
      </c>
      <c r="AN4" s="16">
        <v>67</v>
      </c>
      <c r="AO4" s="2" t="s">
        <v>266</v>
      </c>
      <c r="AP4" s="2" t="s">
        <v>17</v>
      </c>
      <c r="AQ4" t="s">
        <v>17</v>
      </c>
      <c r="AR4" s="16">
        <v>45</v>
      </c>
      <c r="AS4" s="2">
        <v>1</v>
      </c>
      <c r="AT4" s="2" t="s">
        <v>259</v>
      </c>
      <c r="AU4" s="12" t="s">
        <v>104</v>
      </c>
      <c r="AV4" s="12"/>
      <c r="AW4" s="12"/>
      <c r="AX4" s="12" t="s">
        <v>441</v>
      </c>
    </row>
    <row r="5" spans="1:50" x14ac:dyDescent="0.35">
      <c r="A5" s="2" t="s">
        <v>97</v>
      </c>
      <c r="B5" s="19" t="s">
        <v>105</v>
      </c>
      <c r="C5" s="20" t="s">
        <v>106</v>
      </c>
      <c r="D5" s="11" t="s">
        <v>250</v>
      </c>
      <c r="E5" s="12" t="s">
        <v>16</v>
      </c>
      <c r="F5" s="12">
        <v>1</v>
      </c>
      <c r="G5" s="2" t="s">
        <v>253</v>
      </c>
      <c r="H5" s="12">
        <v>1</v>
      </c>
      <c r="I5" s="13">
        <v>100</v>
      </c>
      <c r="J5" s="12">
        <v>6</v>
      </c>
      <c r="K5" s="12">
        <v>3</v>
      </c>
      <c r="L5" s="12">
        <v>50</v>
      </c>
      <c r="M5" s="14" t="s">
        <v>264</v>
      </c>
      <c r="N5" s="14" t="s">
        <v>259</v>
      </c>
      <c r="O5" s="36">
        <v>2600</v>
      </c>
      <c r="P5" s="15" t="s">
        <v>294</v>
      </c>
      <c r="Q5" s="2">
        <v>1</v>
      </c>
      <c r="R5" s="2" t="s">
        <v>259</v>
      </c>
      <c r="T5" s="15">
        <v>5700</v>
      </c>
      <c r="U5" s="4">
        <v>1</v>
      </c>
      <c r="V5" s="7" t="s">
        <v>17</v>
      </c>
      <c r="X5" s="2" t="s">
        <v>17</v>
      </c>
      <c r="Y5" s="7" t="s">
        <v>17</v>
      </c>
      <c r="AA5" s="2" t="s">
        <v>17</v>
      </c>
      <c r="AC5" s="2" t="s">
        <v>17</v>
      </c>
      <c r="AE5" s="2" t="s">
        <v>17</v>
      </c>
      <c r="AG5" s="15" t="s">
        <v>17</v>
      </c>
      <c r="AH5" s="15"/>
      <c r="AI5" s="11" t="s">
        <v>107</v>
      </c>
      <c r="AJ5" s="16">
        <v>28</v>
      </c>
      <c r="AK5" s="16">
        <v>78</v>
      </c>
      <c r="AL5" s="11" t="s">
        <v>108</v>
      </c>
      <c r="AM5" s="16">
        <v>28</v>
      </c>
      <c r="AN5" s="16">
        <v>42</v>
      </c>
      <c r="AO5" s="2" t="s">
        <v>266</v>
      </c>
      <c r="AP5" s="2" t="s">
        <v>17</v>
      </c>
      <c r="AQ5" t="s">
        <v>17</v>
      </c>
      <c r="AR5" s="11">
        <v>15</v>
      </c>
      <c r="AS5" s="2">
        <v>1</v>
      </c>
      <c r="AT5" s="2" t="s">
        <v>259</v>
      </c>
      <c r="AU5" s="12" t="s">
        <v>109</v>
      </c>
      <c r="AV5" s="12"/>
      <c r="AW5" s="12"/>
      <c r="AX5" s="12" t="s">
        <v>289</v>
      </c>
    </row>
    <row r="6" spans="1:50" x14ac:dyDescent="0.35">
      <c r="A6" s="2" t="s">
        <v>97</v>
      </c>
      <c r="B6" s="19" t="s">
        <v>105</v>
      </c>
      <c r="C6" s="20" t="s">
        <v>106</v>
      </c>
      <c r="D6" s="11" t="s">
        <v>250</v>
      </c>
      <c r="E6" s="12" t="s">
        <v>31</v>
      </c>
      <c r="F6" s="12">
        <v>1</v>
      </c>
      <c r="G6" s="2" t="s">
        <v>253</v>
      </c>
      <c r="H6" s="12">
        <v>1</v>
      </c>
      <c r="I6" s="13">
        <v>100</v>
      </c>
      <c r="J6" s="12">
        <v>1</v>
      </c>
      <c r="K6" s="12">
        <v>1</v>
      </c>
      <c r="L6" s="12">
        <v>100</v>
      </c>
      <c r="M6" s="14" t="s">
        <v>264</v>
      </c>
      <c r="N6" s="14" t="s">
        <v>259</v>
      </c>
      <c r="O6" s="36">
        <v>44000</v>
      </c>
      <c r="P6" s="15" t="s">
        <v>294</v>
      </c>
      <c r="Q6" s="2">
        <v>1</v>
      </c>
      <c r="R6" s="2" t="s">
        <v>266</v>
      </c>
      <c r="T6" s="15" t="s">
        <v>17</v>
      </c>
      <c r="U6" s="16" t="s">
        <v>17</v>
      </c>
      <c r="V6" s="21" t="s">
        <v>17</v>
      </c>
      <c r="W6" s="21"/>
      <c r="X6" s="15" t="s">
        <v>17</v>
      </c>
      <c r="Y6" s="21" t="s">
        <v>17</v>
      </c>
      <c r="Z6" s="21"/>
      <c r="AA6" s="15" t="s">
        <v>17</v>
      </c>
      <c r="AB6" s="15"/>
      <c r="AC6" s="15" t="s">
        <v>17</v>
      </c>
      <c r="AD6" s="15"/>
      <c r="AE6" s="15" t="s">
        <v>17</v>
      </c>
      <c r="AF6" s="15"/>
      <c r="AG6" s="15" t="s">
        <v>17</v>
      </c>
      <c r="AH6" s="15"/>
      <c r="AI6" s="11">
        <v>11</v>
      </c>
      <c r="AJ6" s="16">
        <v>11</v>
      </c>
      <c r="AK6" s="16">
        <v>11</v>
      </c>
      <c r="AL6" s="11">
        <v>11</v>
      </c>
      <c r="AM6" s="11">
        <v>11</v>
      </c>
      <c r="AN6" s="11">
        <v>11</v>
      </c>
      <c r="AO6" s="2" t="s">
        <v>266</v>
      </c>
      <c r="AP6" s="2" t="s">
        <v>17</v>
      </c>
      <c r="AQ6" t="s">
        <v>17</v>
      </c>
      <c r="AR6" s="11" t="s">
        <v>17</v>
      </c>
      <c r="AS6" s="2" t="s">
        <v>17</v>
      </c>
      <c r="AT6" s="2" t="s">
        <v>17</v>
      </c>
      <c r="AU6" s="12" t="s">
        <v>109</v>
      </c>
      <c r="AV6" s="12"/>
      <c r="AW6" s="12"/>
      <c r="AX6" s="12" t="s">
        <v>289</v>
      </c>
    </row>
    <row r="7" spans="1:50" ht="29" x14ac:dyDescent="0.35">
      <c r="A7" s="2" t="s">
        <v>97</v>
      </c>
      <c r="B7" s="19" t="s">
        <v>110</v>
      </c>
      <c r="C7" s="20" t="s">
        <v>111</v>
      </c>
      <c r="D7" s="11" t="s">
        <v>250</v>
      </c>
      <c r="E7" s="12" t="s">
        <v>16</v>
      </c>
      <c r="F7" s="12">
        <v>1</v>
      </c>
      <c r="G7" s="2" t="s">
        <v>253</v>
      </c>
      <c r="H7" s="12">
        <v>1</v>
      </c>
      <c r="I7" s="13">
        <v>100</v>
      </c>
      <c r="J7" s="12">
        <v>9</v>
      </c>
      <c r="K7" s="12">
        <v>8</v>
      </c>
      <c r="L7" s="12">
        <f>100*K7/J7</f>
        <v>88.888888888888886</v>
      </c>
      <c r="M7" s="14" t="s">
        <v>264</v>
      </c>
      <c r="N7" s="14" t="s">
        <v>266</v>
      </c>
      <c r="O7" s="35" t="s">
        <v>17</v>
      </c>
      <c r="P7" s="15" t="s">
        <v>17</v>
      </c>
      <c r="Q7" s="15" t="s">
        <v>17</v>
      </c>
      <c r="R7" s="15" t="s">
        <v>17</v>
      </c>
      <c r="S7" s="2" t="s">
        <v>17</v>
      </c>
      <c r="T7" s="15" t="s">
        <v>17</v>
      </c>
      <c r="U7" s="15" t="s">
        <v>17</v>
      </c>
      <c r="V7" s="15" t="s">
        <v>17</v>
      </c>
      <c r="W7" s="15" t="s">
        <v>17</v>
      </c>
      <c r="X7" s="15" t="s">
        <v>17</v>
      </c>
      <c r="Y7" s="15" t="s">
        <v>17</v>
      </c>
      <c r="Z7" s="15" t="s">
        <v>17</v>
      </c>
      <c r="AA7" s="15" t="s">
        <v>17</v>
      </c>
      <c r="AB7" s="15" t="s">
        <v>17</v>
      </c>
      <c r="AC7" s="15" t="s">
        <v>17</v>
      </c>
      <c r="AD7" s="15" t="s">
        <v>17</v>
      </c>
      <c r="AE7" s="15" t="s">
        <v>17</v>
      </c>
      <c r="AF7" s="15" t="s">
        <v>17</v>
      </c>
      <c r="AG7" s="15" t="s">
        <v>17</v>
      </c>
      <c r="AH7" s="15"/>
      <c r="AI7" s="11" t="s">
        <v>112</v>
      </c>
      <c r="AJ7" s="16">
        <v>12</v>
      </c>
      <c r="AK7" s="16">
        <v>72</v>
      </c>
      <c r="AL7" s="11" t="s">
        <v>113</v>
      </c>
      <c r="AM7" s="16">
        <v>12</v>
      </c>
      <c r="AN7" s="16">
        <v>51</v>
      </c>
      <c r="AO7" s="2" t="s">
        <v>266</v>
      </c>
      <c r="AP7" s="2" t="s">
        <v>17</v>
      </c>
      <c r="AQ7" t="s">
        <v>17</v>
      </c>
      <c r="AR7" s="11">
        <v>39</v>
      </c>
      <c r="AS7" s="2">
        <v>1</v>
      </c>
      <c r="AT7" s="2" t="s">
        <v>259</v>
      </c>
      <c r="AU7" s="12" t="s">
        <v>114</v>
      </c>
      <c r="AV7" s="12"/>
      <c r="AW7" s="12"/>
      <c r="AX7" s="12" t="s">
        <v>115</v>
      </c>
    </row>
    <row r="8" spans="1:50" ht="43.5" x14ac:dyDescent="0.35">
      <c r="A8" s="2" t="s">
        <v>97</v>
      </c>
      <c r="B8" s="22" t="s">
        <v>120</v>
      </c>
      <c r="C8" s="20" t="s">
        <v>121</v>
      </c>
      <c r="D8" s="11" t="s">
        <v>250</v>
      </c>
      <c r="E8" s="12" t="s">
        <v>16</v>
      </c>
      <c r="F8" s="12">
        <v>110</v>
      </c>
      <c r="G8" s="2" t="s">
        <v>288</v>
      </c>
      <c r="H8" s="12">
        <v>37</v>
      </c>
      <c r="I8" s="13">
        <v>34</v>
      </c>
      <c r="J8" s="12" t="s">
        <v>17</v>
      </c>
      <c r="K8" s="12" t="s">
        <v>17</v>
      </c>
      <c r="L8" s="12" t="s">
        <v>17</v>
      </c>
      <c r="M8" s="12" t="s">
        <v>264</v>
      </c>
      <c r="N8" s="12" t="s">
        <v>259</v>
      </c>
      <c r="O8" s="36">
        <v>2010</v>
      </c>
      <c r="P8" s="15" t="s">
        <v>295</v>
      </c>
      <c r="Q8" s="2">
        <v>37</v>
      </c>
      <c r="R8" s="2" t="s">
        <v>266</v>
      </c>
      <c r="S8" s="2" t="s">
        <v>259</v>
      </c>
      <c r="T8" s="15">
        <v>3880000</v>
      </c>
      <c r="U8" s="4">
        <v>37</v>
      </c>
      <c r="V8" s="7" t="s">
        <v>17</v>
      </c>
      <c r="X8" s="12" t="s">
        <v>17</v>
      </c>
      <c r="Y8" s="23" t="s">
        <v>17</v>
      </c>
      <c r="Z8" s="23"/>
      <c r="AA8" s="12" t="s">
        <v>17</v>
      </c>
      <c r="AB8" s="12"/>
      <c r="AC8" s="12" t="s">
        <v>17</v>
      </c>
      <c r="AD8" s="12"/>
      <c r="AE8" s="12" t="s">
        <v>17</v>
      </c>
      <c r="AF8" s="12" t="s">
        <v>259</v>
      </c>
      <c r="AG8" s="15" t="s">
        <v>297</v>
      </c>
      <c r="AH8" s="15" t="s">
        <v>463</v>
      </c>
      <c r="AI8" s="11" t="s">
        <v>298</v>
      </c>
      <c r="AJ8" s="11" t="s">
        <v>17</v>
      </c>
      <c r="AK8" s="11" t="s">
        <v>17</v>
      </c>
      <c r="AL8" s="11" t="s">
        <v>298</v>
      </c>
      <c r="AM8" s="11" t="s">
        <v>17</v>
      </c>
      <c r="AN8" s="11" t="s">
        <v>17</v>
      </c>
      <c r="AO8" s="2" t="s">
        <v>266</v>
      </c>
      <c r="AP8" s="2" t="s">
        <v>442</v>
      </c>
      <c r="AQ8" t="s">
        <v>17</v>
      </c>
      <c r="AR8" s="11" t="s">
        <v>17</v>
      </c>
      <c r="AS8" s="2">
        <v>37</v>
      </c>
      <c r="AT8" s="2" t="s">
        <v>266</v>
      </c>
      <c r="AU8" s="12" t="s">
        <v>122</v>
      </c>
      <c r="AV8" s="12"/>
      <c r="AW8" s="12"/>
      <c r="AX8" s="12" t="s">
        <v>302</v>
      </c>
    </row>
    <row r="9" spans="1:50" ht="43.5" x14ac:dyDescent="0.35">
      <c r="A9" s="2" t="s">
        <v>97</v>
      </c>
      <c r="B9" s="22" t="s">
        <v>120</v>
      </c>
      <c r="C9" s="20" t="s">
        <v>121</v>
      </c>
      <c r="D9" s="11" t="s">
        <v>250</v>
      </c>
      <c r="E9" s="12" t="s">
        <v>16</v>
      </c>
      <c r="F9" s="12">
        <v>138</v>
      </c>
      <c r="G9" s="2" t="s">
        <v>288</v>
      </c>
      <c r="H9" s="12">
        <v>27</v>
      </c>
      <c r="I9" s="13">
        <v>20</v>
      </c>
      <c r="J9" s="12" t="s">
        <v>17</v>
      </c>
      <c r="K9" s="12" t="s">
        <v>17</v>
      </c>
      <c r="L9" s="12" t="s">
        <v>17</v>
      </c>
      <c r="M9" s="12" t="s">
        <v>264</v>
      </c>
      <c r="N9" s="12" t="s">
        <v>259</v>
      </c>
      <c r="O9" s="36">
        <v>1640</v>
      </c>
      <c r="P9" s="15" t="s">
        <v>295</v>
      </c>
      <c r="Q9" s="2">
        <v>27</v>
      </c>
      <c r="R9" s="2" t="s">
        <v>266</v>
      </c>
      <c r="S9" s="2" t="s">
        <v>259</v>
      </c>
      <c r="T9" s="15">
        <v>10000000</v>
      </c>
      <c r="U9" s="4">
        <v>27</v>
      </c>
      <c r="V9" s="7" t="s">
        <v>17</v>
      </c>
      <c r="X9" s="12" t="s">
        <v>17</v>
      </c>
      <c r="Y9" s="23" t="s">
        <v>17</v>
      </c>
      <c r="Z9" s="23"/>
      <c r="AA9" s="12" t="s">
        <v>17</v>
      </c>
      <c r="AB9" s="12"/>
      <c r="AC9" s="12" t="s">
        <v>17</v>
      </c>
      <c r="AD9" s="12"/>
      <c r="AE9" s="12" t="s">
        <v>17</v>
      </c>
      <c r="AF9" s="12" t="s">
        <v>259</v>
      </c>
      <c r="AG9" s="15" t="s">
        <v>297</v>
      </c>
      <c r="AH9" s="15" t="s">
        <v>463</v>
      </c>
      <c r="AI9" s="11" t="s">
        <v>299</v>
      </c>
      <c r="AJ9" s="11" t="s">
        <v>17</v>
      </c>
      <c r="AK9" s="11" t="s">
        <v>17</v>
      </c>
      <c r="AL9" s="11" t="s">
        <v>299</v>
      </c>
      <c r="AM9" s="11" t="s">
        <v>17</v>
      </c>
      <c r="AN9" s="11" t="s">
        <v>17</v>
      </c>
      <c r="AO9" s="2" t="s">
        <v>266</v>
      </c>
      <c r="AP9" s="2" t="s">
        <v>442</v>
      </c>
      <c r="AQ9" t="s">
        <v>17</v>
      </c>
      <c r="AR9" s="11" t="s">
        <v>17</v>
      </c>
      <c r="AS9" s="2">
        <v>37</v>
      </c>
      <c r="AT9" s="2" t="s">
        <v>266</v>
      </c>
      <c r="AU9" s="12" t="s">
        <v>122</v>
      </c>
      <c r="AV9" s="12"/>
      <c r="AW9" s="12"/>
      <c r="AX9" s="12" t="s">
        <v>305</v>
      </c>
    </row>
    <row r="10" spans="1:50" ht="43.5" x14ac:dyDescent="0.35">
      <c r="A10" s="2" t="s">
        <v>97</v>
      </c>
      <c r="B10" s="22" t="s">
        <v>120</v>
      </c>
      <c r="C10" s="20" t="s">
        <v>121</v>
      </c>
      <c r="D10" s="11" t="s">
        <v>250</v>
      </c>
      <c r="E10" s="12" t="s">
        <v>16</v>
      </c>
      <c r="F10" s="12">
        <v>145</v>
      </c>
      <c r="G10" s="2" t="s">
        <v>288</v>
      </c>
      <c r="H10" s="12">
        <v>9</v>
      </c>
      <c r="I10" s="13">
        <v>6</v>
      </c>
      <c r="J10" s="12"/>
      <c r="K10" s="12" t="s">
        <v>17</v>
      </c>
      <c r="L10" s="12" t="s">
        <v>17</v>
      </c>
      <c r="M10" s="12" t="s">
        <v>264</v>
      </c>
      <c r="N10" s="12" t="s">
        <v>259</v>
      </c>
      <c r="O10" s="36">
        <v>2570</v>
      </c>
      <c r="P10" s="15" t="s">
        <v>295</v>
      </c>
      <c r="Q10" s="2">
        <v>9</v>
      </c>
      <c r="R10" s="2" t="s">
        <v>266</v>
      </c>
      <c r="S10" s="2" t="s">
        <v>259</v>
      </c>
      <c r="T10" s="15">
        <v>88400</v>
      </c>
      <c r="U10" s="4">
        <v>9</v>
      </c>
      <c r="V10" s="7" t="s">
        <v>17</v>
      </c>
      <c r="X10" s="12" t="s">
        <v>17</v>
      </c>
      <c r="Y10" s="23" t="s">
        <v>17</v>
      </c>
      <c r="Z10" s="23"/>
      <c r="AA10" s="12" t="s">
        <v>17</v>
      </c>
      <c r="AB10" s="12"/>
      <c r="AC10" s="12" t="s">
        <v>17</v>
      </c>
      <c r="AD10" s="12"/>
      <c r="AE10" s="12" t="s">
        <v>17</v>
      </c>
      <c r="AF10" s="12" t="s">
        <v>259</v>
      </c>
      <c r="AG10" s="15" t="s">
        <v>297</v>
      </c>
      <c r="AH10" s="15" t="s">
        <v>463</v>
      </c>
      <c r="AI10" s="11" t="s">
        <v>300</v>
      </c>
      <c r="AJ10" s="11" t="s">
        <v>17</v>
      </c>
      <c r="AK10" s="11" t="s">
        <v>17</v>
      </c>
      <c r="AL10" s="11" t="s">
        <v>300</v>
      </c>
      <c r="AM10" s="11" t="s">
        <v>17</v>
      </c>
      <c r="AN10" s="11" t="s">
        <v>17</v>
      </c>
      <c r="AO10" s="2" t="s">
        <v>266</v>
      </c>
      <c r="AP10" s="2" t="s">
        <v>442</v>
      </c>
      <c r="AQ10" t="s">
        <v>17</v>
      </c>
      <c r="AR10" s="11" t="s">
        <v>17</v>
      </c>
      <c r="AS10" s="2">
        <v>37</v>
      </c>
      <c r="AT10" s="2" t="s">
        <v>266</v>
      </c>
      <c r="AU10" s="12" t="s">
        <v>122</v>
      </c>
      <c r="AV10" s="12"/>
      <c r="AW10" s="12"/>
      <c r="AX10" s="12" t="s">
        <v>304</v>
      </c>
    </row>
    <row r="11" spans="1:50" ht="43.5" x14ac:dyDescent="0.35">
      <c r="A11" s="2" t="s">
        <v>97</v>
      </c>
      <c r="B11" s="22" t="s">
        <v>120</v>
      </c>
      <c r="C11" s="20" t="s">
        <v>121</v>
      </c>
      <c r="D11" s="11" t="s">
        <v>250</v>
      </c>
      <c r="E11" s="12" t="s">
        <v>16</v>
      </c>
      <c r="F11" s="12">
        <v>138</v>
      </c>
      <c r="G11" s="2" t="s">
        <v>288</v>
      </c>
      <c r="H11" s="12">
        <v>1</v>
      </c>
      <c r="I11" s="13">
        <v>0.7</v>
      </c>
      <c r="J11" s="12"/>
      <c r="K11" s="12" t="s">
        <v>17</v>
      </c>
      <c r="L11" s="12" t="s">
        <v>17</v>
      </c>
      <c r="M11" s="12" t="s">
        <v>264</v>
      </c>
      <c r="N11" s="12" t="s">
        <v>259</v>
      </c>
      <c r="O11" s="36">
        <v>884</v>
      </c>
      <c r="P11" s="15" t="s">
        <v>295</v>
      </c>
      <c r="Q11" s="2">
        <v>1</v>
      </c>
      <c r="R11" s="2" t="s">
        <v>266</v>
      </c>
      <c r="S11" s="2" t="s">
        <v>259</v>
      </c>
      <c r="T11" s="15" t="s">
        <v>17</v>
      </c>
      <c r="U11" s="4" t="s">
        <v>17</v>
      </c>
      <c r="V11" s="7" t="s">
        <v>17</v>
      </c>
      <c r="X11" s="12" t="s">
        <v>17</v>
      </c>
      <c r="Y11" s="23" t="s">
        <v>17</v>
      </c>
      <c r="Z11" s="23"/>
      <c r="AA11" s="12" t="s">
        <v>17</v>
      </c>
      <c r="AB11" s="12"/>
      <c r="AC11" s="12" t="s">
        <v>17</v>
      </c>
      <c r="AD11" s="12"/>
      <c r="AE11" s="12" t="s">
        <v>17</v>
      </c>
      <c r="AF11" s="12" t="s">
        <v>259</v>
      </c>
      <c r="AG11" s="15" t="s">
        <v>297</v>
      </c>
      <c r="AH11" s="15" t="s">
        <v>463</v>
      </c>
      <c r="AI11" s="11" t="s">
        <v>301</v>
      </c>
      <c r="AJ11" s="11" t="s">
        <v>17</v>
      </c>
      <c r="AK11" s="11" t="s">
        <v>17</v>
      </c>
      <c r="AL11" s="11" t="s">
        <v>301</v>
      </c>
      <c r="AM11" s="11" t="s">
        <v>17</v>
      </c>
      <c r="AN11" s="11" t="s">
        <v>17</v>
      </c>
      <c r="AO11" s="2" t="s">
        <v>266</v>
      </c>
      <c r="AP11" s="2" t="s">
        <v>442</v>
      </c>
      <c r="AQ11" t="s">
        <v>17</v>
      </c>
      <c r="AR11" s="11" t="s">
        <v>17</v>
      </c>
      <c r="AS11" s="2">
        <v>37</v>
      </c>
      <c r="AT11" s="2" t="s">
        <v>266</v>
      </c>
      <c r="AU11" s="12" t="s">
        <v>122</v>
      </c>
      <c r="AV11" s="12"/>
      <c r="AW11" s="12"/>
      <c r="AX11" s="12" t="s">
        <v>303</v>
      </c>
    </row>
    <row r="12" spans="1:50" ht="29" x14ac:dyDescent="0.35">
      <c r="A12" s="2" t="s">
        <v>97</v>
      </c>
      <c r="B12" s="22" t="s">
        <v>116</v>
      </c>
      <c r="C12" s="20" t="s">
        <v>117</v>
      </c>
      <c r="D12" s="11" t="s">
        <v>250</v>
      </c>
      <c r="E12" s="12" t="s">
        <v>16</v>
      </c>
      <c r="F12" s="12">
        <v>4</v>
      </c>
      <c r="G12" s="2" t="s">
        <v>288</v>
      </c>
      <c r="H12" s="12">
        <v>0</v>
      </c>
      <c r="I12" s="24">
        <v>0</v>
      </c>
      <c r="J12" s="12" t="s">
        <v>17</v>
      </c>
      <c r="K12" s="12" t="s">
        <v>17</v>
      </c>
      <c r="L12" s="12" t="s">
        <v>17</v>
      </c>
      <c r="M12" s="14" t="s">
        <v>264</v>
      </c>
      <c r="N12" s="14" t="s">
        <v>266</v>
      </c>
      <c r="O12" s="35" t="s">
        <v>17</v>
      </c>
      <c r="P12" s="15" t="s">
        <v>17</v>
      </c>
      <c r="Q12" s="15" t="s">
        <v>17</v>
      </c>
      <c r="R12" s="15" t="s">
        <v>17</v>
      </c>
      <c r="S12" s="2" t="s">
        <v>17</v>
      </c>
      <c r="T12" s="15" t="s">
        <v>17</v>
      </c>
      <c r="U12" s="15" t="s">
        <v>17</v>
      </c>
      <c r="V12" s="15" t="s">
        <v>17</v>
      </c>
      <c r="W12" s="15" t="s">
        <v>17</v>
      </c>
      <c r="X12" s="15" t="s">
        <v>17</v>
      </c>
      <c r="Y12" s="15" t="s">
        <v>17</v>
      </c>
      <c r="Z12" s="15" t="s">
        <v>17</v>
      </c>
      <c r="AA12" s="15" t="s">
        <v>17</v>
      </c>
      <c r="AB12" s="15" t="s">
        <v>17</v>
      </c>
      <c r="AC12" s="15" t="s">
        <v>17</v>
      </c>
      <c r="AD12" s="15" t="s">
        <v>17</v>
      </c>
      <c r="AE12" s="15" t="s">
        <v>17</v>
      </c>
      <c r="AF12" s="15" t="s">
        <v>17</v>
      </c>
      <c r="AG12" s="15" t="s">
        <v>17</v>
      </c>
      <c r="AH12" s="15"/>
      <c r="AI12" s="11" t="s">
        <v>118</v>
      </c>
      <c r="AJ12" s="16" t="s">
        <v>17</v>
      </c>
      <c r="AK12" s="16" t="s">
        <v>17</v>
      </c>
      <c r="AL12" s="11" t="s">
        <v>17</v>
      </c>
      <c r="AM12" s="16" t="s">
        <v>17</v>
      </c>
      <c r="AN12" s="16" t="s">
        <v>17</v>
      </c>
      <c r="AO12" s="2" t="s">
        <v>266</v>
      </c>
      <c r="AP12" s="2" t="s">
        <v>17</v>
      </c>
      <c r="AQ12" t="s">
        <v>17</v>
      </c>
      <c r="AR12" s="11" t="s">
        <v>17</v>
      </c>
      <c r="AS12" s="2" t="s">
        <v>17</v>
      </c>
      <c r="AT12" s="2" t="s">
        <v>17</v>
      </c>
      <c r="AU12" s="12" t="s">
        <v>119</v>
      </c>
      <c r="AV12" s="12"/>
      <c r="AW12" s="12"/>
      <c r="AX12" s="12"/>
    </row>
    <row r="13" spans="1:50" ht="29" x14ac:dyDescent="0.35">
      <c r="A13" s="2" t="s">
        <v>382</v>
      </c>
      <c r="B13" s="9" t="s">
        <v>29</v>
      </c>
      <c r="C13" s="20" t="s">
        <v>381</v>
      </c>
      <c r="D13" s="11" t="s">
        <v>30</v>
      </c>
      <c r="E13" s="12" t="s">
        <v>16</v>
      </c>
      <c r="F13" s="12">
        <v>37</v>
      </c>
      <c r="G13" s="2" t="s">
        <v>253</v>
      </c>
      <c r="H13" s="12" t="s">
        <v>17</v>
      </c>
      <c r="I13" s="24" t="s">
        <v>273</v>
      </c>
      <c r="J13" s="12">
        <v>169</v>
      </c>
      <c r="K13" s="12">
        <v>4</v>
      </c>
      <c r="L13" s="12">
        <v>2.4</v>
      </c>
      <c r="M13" s="11" t="s">
        <v>264</v>
      </c>
      <c r="N13" s="11" t="s">
        <v>259</v>
      </c>
      <c r="O13" s="36">
        <v>130</v>
      </c>
      <c r="P13" s="15" t="s">
        <v>294</v>
      </c>
      <c r="Q13" s="2">
        <v>4</v>
      </c>
      <c r="R13" s="2" t="s">
        <v>266</v>
      </c>
      <c r="S13" s="2" t="s">
        <v>266</v>
      </c>
      <c r="T13" s="15">
        <v>500</v>
      </c>
      <c r="U13" s="4">
        <v>4</v>
      </c>
      <c r="V13" s="7" t="s">
        <v>17</v>
      </c>
      <c r="X13" s="2" t="s">
        <v>17</v>
      </c>
      <c r="Y13" s="7" t="s">
        <v>17</v>
      </c>
      <c r="AA13" s="2" t="s">
        <v>17</v>
      </c>
      <c r="AC13" s="2" t="s">
        <v>17</v>
      </c>
      <c r="AE13" s="2" t="s">
        <v>17</v>
      </c>
      <c r="AG13" s="15" t="s">
        <v>297</v>
      </c>
      <c r="AH13" s="15" t="s">
        <v>463</v>
      </c>
      <c r="AI13" s="11" t="s">
        <v>17</v>
      </c>
      <c r="AJ13" s="16">
        <v>8</v>
      </c>
      <c r="AK13" s="16">
        <v>29</v>
      </c>
      <c r="AL13" s="11" t="s">
        <v>17</v>
      </c>
      <c r="AM13" s="16">
        <v>10</v>
      </c>
      <c r="AN13" s="16">
        <v>13</v>
      </c>
      <c r="AO13" s="2" t="s">
        <v>266</v>
      </c>
      <c r="AP13" s="2" t="s">
        <v>17</v>
      </c>
      <c r="AQ13" t="s">
        <v>17</v>
      </c>
      <c r="AR13" s="11">
        <v>4</v>
      </c>
      <c r="AS13" s="2">
        <v>4</v>
      </c>
      <c r="AT13" s="2" t="s">
        <v>266</v>
      </c>
      <c r="AU13" s="12" t="s">
        <v>274</v>
      </c>
      <c r="AV13" s="12"/>
      <c r="AW13" s="12"/>
      <c r="AX13" s="12" t="s">
        <v>275</v>
      </c>
    </row>
    <row r="14" spans="1:50" ht="43.5" x14ac:dyDescent="0.35">
      <c r="A14" s="2" t="s">
        <v>382</v>
      </c>
      <c r="B14" s="9" t="s">
        <v>29</v>
      </c>
      <c r="C14" s="20" t="s">
        <v>381</v>
      </c>
      <c r="D14" s="11" t="s">
        <v>30</v>
      </c>
      <c r="E14" s="12" t="s">
        <v>31</v>
      </c>
      <c r="F14" s="12">
        <v>37</v>
      </c>
      <c r="G14" s="2" t="s">
        <v>253</v>
      </c>
      <c r="H14" s="12" t="s">
        <v>17</v>
      </c>
      <c r="I14" s="24" t="s">
        <v>273</v>
      </c>
      <c r="J14" s="12">
        <v>82</v>
      </c>
      <c r="K14" s="12">
        <v>12</v>
      </c>
      <c r="L14" s="12">
        <v>14.6</v>
      </c>
      <c r="M14" s="25" t="s">
        <v>264</v>
      </c>
      <c r="N14" s="25" t="s">
        <v>259</v>
      </c>
      <c r="O14" s="36">
        <v>16000</v>
      </c>
      <c r="P14" s="15" t="s">
        <v>294</v>
      </c>
      <c r="Q14" s="2">
        <v>12</v>
      </c>
      <c r="R14" s="2" t="s">
        <v>266</v>
      </c>
      <c r="S14" s="2" t="s">
        <v>266</v>
      </c>
      <c r="T14" s="15">
        <v>130000</v>
      </c>
      <c r="U14" s="4">
        <v>12</v>
      </c>
      <c r="V14" s="7" t="s">
        <v>17</v>
      </c>
      <c r="X14" s="2" t="s">
        <v>17</v>
      </c>
      <c r="Y14" s="7" t="s">
        <v>17</v>
      </c>
      <c r="AA14" s="2" t="s">
        <v>17</v>
      </c>
      <c r="AC14" s="2" t="s">
        <v>17</v>
      </c>
      <c r="AE14" s="2" t="s">
        <v>17</v>
      </c>
      <c r="AG14" s="15" t="s">
        <v>297</v>
      </c>
      <c r="AH14" s="15" t="s">
        <v>463</v>
      </c>
      <c r="AI14" s="11" t="s">
        <v>17</v>
      </c>
      <c r="AJ14" s="16">
        <v>8</v>
      </c>
      <c r="AK14" s="16">
        <v>29</v>
      </c>
      <c r="AL14" s="11" t="s">
        <v>17</v>
      </c>
      <c r="AM14" s="16">
        <v>8</v>
      </c>
      <c r="AN14" s="16">
        <v>29</v>
      </c>
      <c r="AO14" s="2" t="s">
        <v>266</v>
      </c>
      <c r="AP14" s="2" t="s">
        <v>17</v>
      </c>
      <c r="AQ14" t="s">
        <v>17</v>
      </c>
      <c r="AR14" s="11">
        <v>22</v>
      </c>
      <c r="AS14" s="2">
        <v>12</v>
      </c>
      <c r="AT14" s="2" t="s">
        <v>259</v>
      </c>
      <c r="AU14" s="12" t="s">
        <v>274</v>
      </c>
      <c r="AV14" s="12"/>
      <c r="AW14" s="12"/>
      <c r="AX14" s="12" t="s">
        <v>276</v>
      </c>
    </row>
    <row r="15" spans="1:50" ht="29" x14ac:dyDescent="0.35">
      <c r="A15" s="2" t="s">
        <v>382</v>
      </c>
      <c r="B15" s="22" t="s">
        <v>32</v>
      </c>
      <c r="C15" s="20" t="s">
        <v>33</v>
      </c>
      <c r="D15" s="11" t="s">
        <v>30</v>
      </c>
      <c r="E15" s="12" t="s">
        <v>16</v>
      </c>
      <c r="F15" s="12">
        <v>2</v>
      </c>
      <c r="G15" s="2" t="s">
        <v>253</v>
      </c>
      <c r="H15" s="12">
        <v>1</v>
      </c>
      <c r="I15" s="24">
        <v>50</v>
      </c>
      <c r="J15" s="12" t="s">
        <v>17</v>
      </c>
      <c r="K15" s="12" t="s">
        <v>17</v>
      </c>
      <c r="L15" s="12" t="s">
        <v>17</v>
      </c>
      <c r="M15" s="14" t="s">
        <v>264</v>
      </c>
      <c r="N15" s="14" t="s">
        <v>266</v>
      </c>
      <c r="O15" s="35" t="s">
        <v>17</v>
      </c>
      <c r="P15" s="15" t="s">
        <v>17</v>
      </c>
      <c r="Q15" s="15" t="s">
        <v>17</v>
      </c>
      <c r="R15" s="15" t="s">
        <v>17</v>
      </c>
      <c r="S15" s="2" t="s">
        <v>17</v>
      </c>
      <c r="T15" s="15" t="s">
        <v>17</v>
      </c>
      <c r="U15" s="15" t="s">
        <v>17</v>
      </c>
      <c r="V15" s="15" t="s">
        <v>17</v>
      </c>
      <c r="W15" s="15" t="s">
        <v>17</v>
      </c>
      <c r="X15" s="15" t="s">
        <v>17</v>
      </c>
      <c r="Y15" s="15" t="s">
        <v>17</v>
      </c>
      <c r="Z15" s="15" t="s">
        <v>17</v>
      </c>
      <c r="AA15" s="15" t="s">
        <v>17</v>
      </c>
      <c r="AB15" s="15" t="s">
        <v>17</v>
      </c>
      <c r="AC15" s="15" t="s">
        <v>17</v>
      </c>
      <c r="AD15" s="15" t="s">
        <v>17</v>
      </c>
      <c r="AE15" s="15" t="s">
        <v>17</v>
      </c>
      <c r="AF15" s="15" t="s">
        <v>17</v>
      </c>
      <c r="AG15" s="15" t="s">
        <v>17</v>
      </c>
      <c r="AH15" s="15"/>
      <c r="AI15" s="11" t="s">
        <v>278</v>
      </c>
      <c r="AJ15" s="16">
        <v>6</v>
      </c>
      <c r="AK15" s="16">
        <v>30</v>
      </c>
      <c r="AL15" s="11" t="s">
        <v>277</v>
      </c>
      <c r="AM15" s="16">
        <v>20</v>
      </c>
      <c r="AN15" s="16">
        <v>30</v>
      </c>
      <c r="AO15" s="2" t="s">
        <v>266</v>
      </c>
      <c r="AP15" s="2" t="s">
        <v>17</v>
      </c>
      <c r="AQ15" t="s">
        <v>17</v>
      </c>
      <c r="AR15" s="11">
        <v>10</v>
      </c>
      <c r="AS15" s="2">
        <v>1</v>
      </c>
      <c r="AT15" s="2" t="s">
        <v>259</v>
      </c>
      <c r="AU15" s="12" t="s">
        <v>34</v>
      </c>
      <c r="AV15" s="12"/>
      <c r="AW15" s="12"/>
      <c r="AX15" s="12" t="s">
        <v>17</v>
      </c>
    </row>
    <row r="16" spans="1:50" ht="29" x14ac:dyDescent="0.35">
      <c r="A16" s="2" t="s">
        <v>382</v>
      </c>
      <c r="B16" s="19" t="s">
        <v>35</v>
      </c>
      <c r="C16" s="20" t="s">
        <v>36</v>
      </c>
      <c r="D16" s="11" t="s">
        <v>30</v>
      </c>
      <c r="E16" s="12" t="s">
        <v>16</v>
      </c>
      <c r="F16" s="12">
        <v>1</v>
      </c>
      <c r="G16" s="2" t="s">
        <v>253</v>
      </c>
      <c r="H16" s="12">
        <v>1</v>
      </c>
      <c r="I16" s="24">
        <v>100</v>
      </c>
      <c r="J16" s="12">
        <v>4</v>
      </c>
      <c r="K16" s="12">
        <v>2</v>
      </c>
      <c r="L16" s="12">
        <v>50</v>
      </c>
      <c r="M16" s="14" t="s">
        <v>264</v>
      </c>
      <c r="N16" s="14" t="s">
        <v>259</v>
      </c>
      <c r="O16" s="36"/>
      <c r="P16" s="15"/>
      <c r="Q16" s="2" t="s">
        <v>17</v>
      </c>
      <c r="R16" s="15" t="s">
        <v>266</v>
      </c>
      <c r="S16" s="2" t="s">
        <v>266</v>
      </c>
      <c r="T16" s="15">
        <v>2700</v>
      </c>
      <c r="U16" s="4">
        <v>1</v>
      </c>
      <c r="V16" s="7" t="s">
        <v>17</v>
      </c>
      <c r="X16" s="12" t="s">
        <v>17</v>
      </c>
      <c r="Y16" s="23" t="s">
        <v>17</v>
      </c>
      <c r="Z16" s="23"/>
      <c r="AA16" s="12" t="s">
        <v>17</v>
      </c>
      <c r="AB16" s="12"/>
      <c r="AC16" s="12" t="s">
        <v>17</v>
      </c>
      <c r="AD16" s="12"/>
      <c r="AE16" s="12" t="s">
        <v>17</v>
      </c>
      <c r="AF16" s="12"/>
      <c r="AG16" s="15" t="s">
        <v>297</v>
      </c>
      <c r="AH16" s="15" t="s">
        <v>463</v>
      </c>
      <c r="AI16" s="11" t="s">
        <v>280</v>
      </c>
      <c r="AJ16" s="16">
        <v>12</v>
      </c>
      <c r="AK16" s="16">
        <v>16</v>
      </c>
      <c r="AL16" s="11" t="s">
        <v>281</v>
      </c>
      <c r="AM16" s="16">
        <v>12</v>
      </c>
      <c r="AN16" s="16">
        <v>13</v>
      </c>
      <c r="AO16" s="2" t="s">
        <v>266</v>
      </c>
      <c r="AP16" s="2" t="s">
        <v>17</v>
      </c>
      <c r="AQ16" t="s">
        <v>17</v>
      </c>
      <c r="AR16" s="11" t="s">
        <v>17</v>
      </c>
      <c r="AS16" s="2">
        <v>1</v>
      </c>
      <c r="AT16" s="2" t="s">
        <v>259</v>
      </c>
      <c r="AU16" s="12" t="s">
        <v>38</v>
      </c>
      <c r="AV16" s="12"/>
      <c r="AW16" s="12"/>
      <c r="AX16" s="12" t="s">
        <v>39</v>
      </c>
    </row>
    <row r="17" spans="1:50" ht="29" x14ac:dyDescent="0.35">
      <c r="A17" s="2" t="s">
        <v>382</v>
      </c>
      <c r="B17" s="9" t="s">
        <v>35</v>
      </c>
      <c r="C17" s="10" t="s">
        <v>36</v>
      </c>
      <c r="D17" s="11" t="s">
        <v>30</v>
      </c>
      <c r="E17" s="12" t="s">
        <v>31</v>
      </c>
      <c r="F17" s="12">
        <v>1</v>
      </c>
      <c r="G17" s="2" t="s">
        <v>253</v>
      </c>
      <c r="H17" s="12">
        <v>1</v>
      </c>
      <c r="I17" s="24">
        <v>100</v>
      </c>
      <c r="J17" s="12">
        <v>7</v>
      </c>
      <c r="K17" s="12">
        <v>7</v>
      </c>
      <c r="L17" s="12">
        <v>100</v>
      </c>
      <c r="M17" s="14" t="s">
        <v>264</v>
      </c>
      <c r="N17" s="14" t="s">
        <v>259</v>
      </c>
      <c r="O17" s="36"/>
      <c r="P17" s="15"/>
      <c r="Q17" s="2" t="s">
        <v>17</v>
      </c>
      <c r="R17" s="15" t="s">
        <v>266</v>
      </c>
      <c r="S17" s="2" t="s">
        <v>266</v>
      </c>
      <c r="T17" s="15">
        <v>1031</v>
      </c>
      <c r="U17" s="4">
        <v>1</v>
      </c>
      <c r="V17" s="7" t="s">
        <v>17</v>
      </c>
      <c r="X17" s="12" t="s">
        <v>17</v>
      </c>
      <c r="Y17" s="23" t="s">
        <v>17</v>
      </c>
      <c r="Z17" s="23"/>
      <c r="AA17" s="12" t="s">
        <v>17</v>
      </c>
      <c r="AB17" s="12"/>
      <c r="AC17" s="12" t="s">
        <v>17</v>
      </c>
      <c r="AD17" s="12"/>
      <c r="AE17" s="12" t="s">
        <v>17</v>
      </c>
      <c r="AF17" s="12"/>
      <c r="AG17" s="15" t="s">
        <v>327</v>
      </c>
      <c r="AH17" s="15" t="s">
        <v>463</v>
      </c>
      <c r="AI17" s="11" t="s">
        <v>282</v>
      </c>
      <c r="AJ17" s="16">
        <v>12</v>
      </c>
      <c r="AK17" s="16">
        <v>16</v>
      </c>
      <c r="AL17" s="11" t="s">
        <v>37</v>
      </c>
      <c r="AM17" s="16">
        <v>12</v>
      </c>
      <c r="AN17" s="16">
        <v>16</v>
      </c>
      <c r="AO17" s="2" t="s">
        <v>266</v>
      </c>
      <c r="AP17" s="2" t="s">
        <v>17</v>
      </c>
      <c r="AQ17" t="s">
        <v>17</v>
      </c>
      <c r="AR17" s="11">
        <v>5</v>
      </c>
      <c r="AS17" s="2">
        <v>1</v>
      </c>
      <c r="AT17" s="2" t="s">
        <v>259</v>
      </c>
      <c r="AU17" s="12" t="s">
        <v>38</v>
      </c>
      <c r="AV17" s="12"/>
      <c r="AW17" s="12"/>
      <c r="AX17" s="12"/>
    </row>
    <row r="18" spans="1:50" ht="29" x14ac:dyDescent="0.35">
      <c r="A18" s="2" t="s">
        <v>49</v>
      </c>
      <c r="B18" s="18" t="s">
        <v>50</v>
      </c>
      <c r="C18" s="10" t="s">
        <v>51</v>
      </c>
      <c r="D18" s="11" t="s">
        <v>52</v>
      </c>
      <c r="E18" s="12" t="s">
        <v>16</v>
      </c>
      <c r="F18" s="12">
        <v>4</v>
      </c>
      <c r="G18" s="2" t="s">
        <v>253</v>
      </c>
      <c r="H18" s="12">
        <v>1</v>
      </c>
      <c r="I18" s="24">
        <v>25</v>
      </c>
      <c r="J18" s="12">
        <v>4</v>
      </c>
      <c r="K18" s="12">
        <v>1</v>
      </c>
      <c r="L18" s="12">
        <v>25</v>
      </c>
      <c r="M18" s="14" t="s">
        <v>285</v>
      </c>
      <c r="N18" s="14" t="s">
        <v>266</v>
      </c>
      <c r="O18" s="35" t="s">
        <v>17</v>
      </c>
      <c r="P18" s="15" t="s">
        <v>17</v>
      </c>
      <c r="Q18" s="15" t="s">
        <v>17</v>
      </c>
      <c r="R18" s="15" t="s">
        <v>17</v>
      </c>
      <c r="S18" s="2" t="s">
        <v>17</v>
      </c>
      <c r="T18" s="15" t="s">
        <v>17</v>
      </c>
      <c r="U18" s="15" t="s">
        <v>17</v>
      </c>
      <c r="V18" s="15" t="s">
        <v>17</v>
      </c>
      <c r="W18" s="15" t="s">
        <v>17</v>
      </c>
      <c r="X18" s="15" t="s">
        <v>17</v>
      </c>
      <c r="Y18" s="15" t="s">
        <v>17</v>
      </c>
      <c r="Z18" s="15" t="s">
        <v>17</v>
      </c>
      <c r="AA18" s="15" t="s">
        <v>17</v>
      </c>
      <c r="AB18" s="15" t="s">
        <v>17</v>
      </c>
      <c r="AC18" s="15" t="s">
        <v>17</v>
      </c>
      <c r="AD18" s="15" t="s">
        <v>17</v>
      </c>
      <c r="AE18" s="15" t="s">
        <v>17</v>
      </c>
      <c r="AF18" s="15" t="s">
        <v>17</v>
      </c>
      <c r="AG18" s="15" t="s">
        <v>17</v>
      </c>
      <c r="AH18" s="15"/>
      <c r="AI18" s="11" t="s">
        <v>53</v>
      </c>
      <c r="AJ18" s="16">
        <v>4</v>
      </c>
      <c r="AK18" s="16">
        <v>8</v>
      </c>
      <c r="AL18" s="11">
        <v>7</v>
      </c>
      <c r="AM18" s="16">
        <v>7</v>
      </c>
      <c r="AN18" s="16">
        <v>7</v>
      </c>
      <c r="AO18" s="2" t="s">
        <v>266</v>
      </c>
      <c r="AP18" s="11" t="s">
        <v>17</v>
      </c>
      <c r="AQ18" t="s">
        <v>17</v>
      </c>
      <c r="AR18" s="11" t="s">
        <v>17</v>
      </c>
      <c r="AS18" s="11" t="s">
        <v>17</v>
      </c>
      <c r="AT18" s="11" t="s">
        <v>17</v>
      </c>
      <c r="AU18" s="12" t="s">
        <v>54</v>
      </c>
      <c r="AV18" s="12"/>
      <c r="AW18" s="12"/>
      <c r="AX18" s="12"/>
    </row>
    <row r="19" spans="1:50" ht="29" x14ac:dyDescent="0.35">
      <c r="A19" s="2" t="s">
        <v>49</v>
      </c>
      <c r="B19" s="9" t="s">
        <v>55</v>
      </c>
      <c r="C19" s="10" t="s">
        <v>56</v>
      </c>
      <c r="D19" s="11" t="s">
        <v>57</v>
      </c>
      <c r="E19" s="12" t="s">
        <v>16</v>
      </c>
      <c r="F19" s="12">
        <v>1</v>
      </c>
      <c r="G19" s="2" t="s">
        <v>253</v>
      </c>
      <c r="H19" s="12">
        <v>1</v>
      </c>
      <c r="I19" s="24">
        <v>100</v>
      </c>
      <c r="J19" s="12">
        <v>7</v>
      </c>
      <c r="K19" s="12">
        <v>7</v>
      </c>
      <c r="L19" s="12">
        <v>100</v>
      </c>
      <c r="M19" s="14" t="s">
        <v>264</v>
      </c>
      <c r="N19" s="14" t="s">
        <v>259</v>
      </c>
      <c r="O19" s="36">
        <v>161942</v>
      </c>
      <c r="P19" s="15" t="s">
        <v>294</v>
      </c>
      <c r="Q19" s="2">
        <v>1</v>
      </c>
      <c r="R19" s="2" t="s">
        <v>259</v>
      </c>
      <c r="S19" s="2" t="s">
        <v>259</v>
      </c>
      <c r="T19" s="15">
        <v>642097</v>
      </c>
      <c r="U19" s="4">
        <v>1</v>
      </c>
      <c r="V19" s="7" t="s">
        <v>17</v>
      </c>
      <c r="X19" s="12" t="s">
        <v>17</v>
      </c>
      <c r="Y19" s="7" t="s">
        <v>17</v>
      </c>
      <c r="Z19" s="7" t="s">
        <v>17</v>
      </c>
      <c r="AA19" s="7" t="s">
        <v>17</v>
      </c>
      <c r="AB19" s="7" t="s">
        <v>17</v>
      </c>
      <c r="AC19" s="2" t="s">
        <v>17</v>
      </c>
      <c r="AE19" s="2" t="s">
        <v>17</v>
      </c>
      <c r="AF19" s="2" t="s">
        <v>266</v>
      </c>
      <c r="AG19" s="15" t="s">
        <v>297</v>
      </c>
      <c r="AH19" s="15" t="s">
        <v>463</v>
      </c>
      <c r="AI19" s="11" t="s">
        <v>324</v>
      </c>
      <c r="AJ19" s="16">
        <v>5</v>
      </c>
      <c r="AK19" s="16">
        <v>28</v>
      </c>
      <c r="AL19" s="11" t="s">
        <v>323</v>
      </c>
      <c r="AM19" s="16">
        <v>5</v>
      </c>
      <c r="AN19" s="16">
        <v>25</v>
      </c>
      <c r="AO19" s="2" t="s">
        <v>266</v>
      </c>
      <c r="AP19" s="2" t="s">
        <v>17</v>
      </c>
      <c r="AQ19" t="s">
        <v>17</v>
      </c>
      <c r="AR19" s="11" t="s">
        <v>17</v>
      </c>
      <c r="AS19" s="2">
        <v>1</v>
      </c>
      <c r="AT19" s="2" t="s">
        <v>259</v>
      </c>
      <c r="AU19" s="12" t="s">
        <v>58</v>
      </c>
      <c r="AV19" s="12"/>
      <c r="AW19" s="12"/>
      <c r="AX19" s="12"/>
    </row>
    <row r="20" spans="1:50" ht="29" x14ac:dyDescent="0.35">
      <c r="A20" s="2" t="s">
        <v>49</v>
      </c>
      <c r="B20" s="9" t="s">
        <v>55</v>
      </c>
      <c r="C20" s="10" t="s">
        <v>56</v>
      </c>
      <c r="D20" s="11" t="s">
        <v>57</v>
      </c>
      <c r="E20" s="12" t="s">
        <v>31</v>
      </c>
      <c r="F20" s="12">
        <v>1</v>
      </c>
      <c r="G20" s="2" t="s">
        <v>253</v>
      </c>
      <c r="H20" s="12">
        <v>1</v>
      </c>
      <c r="I20" s="24">
        <v>100</v>
      </c>
      <c r="J20" s="12">
        <v>9</v>
      </c>
      <c r="K20" s="12">
        <v>9</v>
      </c>
      <c r="L20" s="12">
        <v>100</v>
      </c>
      <c r="M20" s="14" t="s">
        <v>264</v>
      </c>
      <c r="N20" s="14" t="s">
        <v>259</v>
      </c>
      <c r="O20" s="36">
        <v>4853127</v>
      </c>
      <c r="P20" s="15" t="s">
        <v>294</v>
      </c>
      <c r="Q20" s="2">
        <v>1</v>
      </c>
      <c r="R20" s="2" t="s">
        <v>259</v>
      </c>
      <c r="S20" s="2" t="s">
        <v>259</v>
      </c>
      <c r="T20" s="15">
        <v>15659372</v>
      </c>
      <c r="U20" s="4">
        <v>1</v>
      </c>
      <c r="V20" s="7" t="s">
        <v>17</v>
      </c>
      <c r="X20" s="12" t="s">
        <v>17</v>
      </c>
      <c r="Y20" s="7" t="s">
        <v>17</v>
      </c>
      <c r="Z20" s="7" t="s">
        <v>17</v>
      </c>
      <c r="AA20" s="7" t="s">
        <v>17</v>
      </c>
      <c r="AB20" s="7" t="s">
        <v>17</v>
      </c>
      <c r="AC20" s="2" t="s">
        <v>17</v>
      </c>
      <c r="AE20" s="2" t="s">
        <v>17</v>
      </c>
      <c r="AF20" s="2" t="s">
        <v>266</v>
      </c>
      <c r="AG20" s="15" t="s">
        <v>297</v>
      </c>
      <c r="AH20" s="15" t="s">
        <v>463</v>
      </c>
      <c r="AI20" s="11" t="s">
        <v>325</v>
      </c>
      <c r="AJ20" s="16">
        <v>6</v>
      </c>
      <c r="AK20" s="16">
        <v>19</v>
      </c>
      <c r="AL20" s="17" t="s">
        <v>326</v>
      </c>
      <c r="AM20" s="16">
        <v>6</v>
      </c>
      <c r="AN20" s="16">
        <v>16</v>
      </c>
      <c r="AO20" s="2" t="s">
        <v>266</v>
      </c>
      <c r="AP20" s="2" t="s">
        <v>17</v>
      </c>
      <c r="AQ20" t="s">
        <v>17</v>
      </c>
      <c r="AR20" s="11">
        <v>11</v>
      </c>
      <c r="AS20" s="2">
        <v>1</v>
      </c>
      <c r="AT20" s="2" t="s">
        <v>259</v>
      </c>
      <c r="AU20" s="12" t="s">
        <v>58</v>
      </c>
      <c r="AV20" s="12"/>
      <c r="AW20" s="12"/>
      <c r="AX20" s="12"/>
    </row>
    <row r="21" spans="1:50" ht="29" x14ac:dyDescent="0.35">
      <c r="A21" s="2" t="s">
        <v>49</v>
      </c>
      <c r="B21" s="9" t="s">
        <v>59</v>
      </c>
      <c r="C21" s="10" t="s">
        <v>60</v>
      </c>
      <c r="D21" s="11" t="s">
        <v>57</v>
      </c>
      <c r="E21" s="12" t="s">
        <v>16</v>
      </c>
      <c r="F21" s="12">
        <v>1</v>
      </c>
      <c r="G21" s="2" t="s">
        <v>253</v>
      </c>
      <c r="H21" s="12">
        <v>1</v>
      </c>
      <c r="I21" s="24">
        <v>100</v>
      </c>
      <c r="J21" s="12">
        <v>12</v>
      </c>
      <c r="K21" s="12">
        <v>4</v>
      </c>
      <c r="L21" s="12">
        <v>33</v>
      </c>
      <c r="M21" s="14" t="s">
        <v>264</v>
      </c>
      <c r="N21" s="14" t="s">
        <v>259</v>
      </c>
      <c r="O21" s="36">
        <v>6818</v>
      </c>
      <c r="P21" s="15" t="s">
        <v>294</v>
      </c>
      <c r="Q21" s="2">
        <v>1</v>
      </c>
      <c r="R21" s="2" t="s">
        <v>259</v>
      </c>
      <c r="S21" s="2" t="s">
        <v>259</v>
      </c>
      <c r="T21" s="15">
        <v>53038</v>
      </c>
      <c r="U21" s="4">
        <v>1</v>
      </c>
      <c r="V21" s="7" t="s">
        <v>17</v>
      </c>
      <c r="W21" s="7" t="s">
        <v>17</v>
      </c>
      <c r="X21" s="7" t="s">
        <v>17</v>
      </c>
      <c r="Y21" s="7" t="s">
        <v>17</v>
      </c>
      <c r="Z21" s="7" t="s">
        <v>17</v>
      </c>
      <c r="AA21" s="7" t="s">
        <v>17</v>
      </c>
      <c r="AB21" s="7" t="s">
        <v>17</v>
      </c>
      <c r="AC21" s="7" t="s">
        <v>17</v>
      </c>
      <c r="AD21" s="7"/>
      <c r="AE21" s="7" t="s">
        <v>17</v>
      </c>
      <c r="AF21" s="2" t="s">
        <v>266</v>
      </c>
      <c r="AG21" s="15" t="s">
        <v>297</v>
      </c>
      <c r="AH21" s="15" t="s">
        <v>463</v>
      </c>
      <c r="AI21" s="11" t="s">
        <v>17</v>
      </c>
      <c r="AJ21" s="16">
        <v>3</v>
      </c>
      <c r="AK21" s="16">
        <v>16</v>
      </c>
      <c r="AL21" s="11" t="s">
        <v>17</v>
      </c>
      <c r="AM21" s="16">
        <v>6</v>
      </c>
      <c r="AN21" s="16">
        <v>10</v>
      </c>
      <c r="AO21" s="2" t="s">
        <v>266</v>
      </c>
      <c r="AP21" s="2" t="s">
        <v>17</v>
      </c>
      <c r="AQ21" t="s">
        <v>17</v>
      </c>
      <c r="AR21" s="11">
        <v>7</v>
      </c>
      <c r="AS21" s="2">
        <v>1</v>
      </c>
      <c r="AT21" s="2" t="s">
        <v>259</v>
      </c>
      <c r="AU21" s="11" t="s">
        <v>61</v>
      </c>
      <c r="AV21" s="11"/>
      <c r="AW21" s="11"/>
      <c r="AX21" s="11" t="s">
        <v>62</v>
      </c>
    </row>
    <row r="22" spans="1:50" ht="29" x14ac:dyDescent="0.35">
      <c r="A22" s="2" t="s">
        <v>49</v>
      </c>
      <c r="B22" s="9" t="s">
        <v>59</v>
      </c>
      <c r="C22" s="10" t="s">
        <v>60</v>
      </c>
      <c r="D22" s="11" t="s">
        <v>57</v>
      </c>
      <c r="E22" s="12" t="s">
        <v>31</v>
      </c>
      <c r="F22" s="12">
        <v>1</v>
      </c>
      <c r="G22" s="2" t="s">
        <v>253</v>
      </c>
      <c r="H22" s="12">
        <v>1</v>
      </c>
      <c r="I22" s="24">
        <v>100</v>
      </c>
      <c r="J22" s="12">
        <v>8</v>
      </c>
      <c r="K22" s="12">
        <v>5</v>
      </c>
      <c r="L22" s="12">
        <v>63</v>
      </c>
      <c r="M22" s="14" t="s">
        <v>264</v>
      </c>
      <c r="N22" s="14" t="s">
        <v>259</v>
      </c>
      <c r="O22" s="36">
        <v>586132</v>
      </c>
      <c r="P22" s="15" t="s">
        <v>294</v>
      </c>
      <c r="Q22" s="2">
        <v>1</v>
      </c>
      <c r="R22" s="2" t="s">
        <v>259</v>
      </c>
      <c r="S22" s="2" t="s">
        <v>259</v>
      </c>
      <c r="T22" s="15">
        <v>4548789</v>
      </c>
      <c r="U22" s="4">
        <v>1</v>
      </c>
      <c r="V22" s="7" t="s">
        <v>17</v>
      </c>
      <c r="W22" s="7" t="s">
        <v>17</v>
      </c>
      <c r="X22" s="7" t="s">
        <v>17</v>
      </c>
      <c r="Y22" s="7" t="s">
        <v>17</v>
      </c>
      <c r="Z22" s="7" t="s">
        <v>17</v>
      </c>
      <c r="AA22" s="7" t="s">
        <v>17</v>
      </c>
      <c r="AB22" s="7" t="s">
        <v>17</v>
      </c>
      <c r="AC22" s="7" t="s">
        <v>17</v>
      </c>
      <c r="AD22" s="7"/>
      <c r="AE22" s="7" t="s">
        <v>17</v>
      </c>
      <c r="AF22" s="2" t="s">
        <v>266</v>
      </c>
      <c r="AG22" s="15" t="s">
        <v>297</v>
      </c>
      <c r="AH22" s="15" t="s">
        <v>463</v>
      </c>
      <c r="AI22" s="11" t="s">
        <v>17</v>
      </c>
      <c r="AJ22" s="16">
        <v>7</v>
      </c>
      <c r="AK22" s="16">
        <v>16</v>
      </c>
      <c r="AL22" s="11" t="s">
        <v>17</v>
      </c>
      <c r="AM22" s="16">
        <v>7</v>
      </c>
      <c r="AN22" s="16">
        <v>13</v>
      </c>
      <c r="AO22" s="2" t="s">
        <v>266</v>
      </c>
      <c r="AP22" s="2" t="s">
        <v>17</v>
      </c>
      <c r="AQ22" t="s">
        <v>17</v>
      </c>
      <c r="AR22" s="11">
        <v>7</v>
      </c>
      <c r="AS22" s="2">
        <v>1</v>
      </c>
      <c r="AT22" s="2" t="s">
        <v>259</v>
      </c>
      <c r="AU22" s="11" t="s">
        <v>61</v>
      </c>
      <c r="AV22" s="11"/>
      <c r="AW22" s="11"/>
      <c r="AX22" s="11" t="s">
        <v>62</v>
      </c>
    </row>
    <row r="23" spans="1:50" ht="43.5" x14ac:dyDescent="0.35">
      <c r="A23" s="2" t="s">
        <v>49</v>
      </c>
      <c r="B23" s="9" t="s">
        <v>63</v>
      </c>
      <c r="C23" s="10" t="s">
        <v>64</v>
      </c>
      <c r="D23" s="11" t="s">
        <v>57</v>
      </c>
      <c r="E23" s="12" t="s">
        <v>16</v>
      </c>
      <c r="F23" s="12">
        <v>7</v>
      </c>
      <c r="G23" s="2" t="s">
        <v>288</v>
      </c>
      <c r="H23" s="12">
        <v>0</v>
      </c>
      <c r="I23" s="26" t="s">
        <v>142</v>
      </c>
      <c r="J23" s="12" t="s">
        <v>17</v>
      </c>
      <c r="K23" s="12" t="s">
        <v>17</v>
      </c>
      <c r="L23" s="12" t="s">
        <v>17</v>
      </c>
      <c r="M23" s="14" t="s">
        <v>264</v>
      </c>
      <c r="N23" s="14" t="s">
        <v>266</v>
      </c>
      <c r="O23" s="35" t="s">
        <v>17</v>
      </c>
      <c r="P23" s="15" t="s">
        <v>17</v>
      </c>
      <c r="Q23" s="15" t="s">
        <v>17</v>
      </c>
      <c r="R23" s="15" t="s">
        <v>17</v>
      </c>
      <c r="S23" s="2" t="s">
        <v>17</v>
      </c>
      <c r="T23" s="15" t="s">
        <v>17</v>
      </c>
      <c r="U23" s="15" t="s">
        <v>17</v>
      </c>
      <c r="V23" s="15" t="s">
        <v>17</v>
      </c>
      <c r="W23" s="15" t="s">
        <v>17</v>
      </c>
      <c r="X23" s="15" t="s">
        <v>17</v>
      </c>
      <c r="Y23" s="15" t="s">
        <v>17</v>
      </c>
      <c r="Z23" s="15" t="s">
        <v>17</v>
      </c>
      <c r="AA23" s="15" t="s">
        <v>17</v>
      </c>
      <c r="AB23" s="15" t="s">
        <v>17</v>
      </c>
      <c r="AC23" s="15" t="s">
        <v>17</v>
      </c>
      <c r="AD23" s="15" t="s">
        <v>17</v>
      </c>
      <c r="AE23" s="15" t="s">
        <v>17</v>
      </c>
      <c r="AF23" s="15" t="s">
        <v>17</v>
      </c>
      <c r="AG23" s="15" t="s">
        <v>17</v>
      </c>
      <c r="AH23" s="15"/>
      <c r="AI23" s="11" t="s">
        <v>400</v>
      </c>
      <c r="AJ23" s="16">
        <v>11</v>
      </c>
      <c r="AK23" s="16">
        <v>33</v>
      </c>
      <c r="AL23" s="11" t="s">
        <v>65</v>
      </c>
      <c r="AM23" s="16" t="s">
        <v>65</v>
      </c>
      <c r="AN23" s="16" t="s">
        <v>65</v>
      </c>
      <c r="AO23" s="2" t="s">
        <v>266</v>
      </c>
      <c r="AP23" s="2" t="s">
        <v>17</v>
      </c>
      <c r="AQ23" t="s">
        <v>17</v>
      </c>
      <c r="AR23" s="11" t="s">
        <v>17</v>
      </c>
      <c r="AS23" s="2">
        <v>7</v>
      </c>
      <c r="AT23" s="2" t="s">
        <v>17</v>
      </c>
      <c r="AU23" s="11" t="s">
        <v>66</v>
      </c>
      <c r="AV23" s="11"/>
      <c r="AW23" s="11"/>
      <c r="AX23" s="11" t="s">
        <v>401</v>
      </c>
    </row>
    <row r="24" spans="1:50" ht="29" x14ac:dyDescent="0.35">
      <c r="A24" s="2" t="s">
        <v>49</v>
      </c>
      <c r="B24" s="9" t="s">
        <v>67</v>
      </c>
      <c r="C24" s="10" t="s">
        <v>68</v>
      </c>
      <c r="D24" s="11" t="s">
        <v>57</v>
      </c>
      <c r="E24" s="12" t="s">
        <v>16</v>
      </c>
      <c r="F24" s="12">
        <v>2</v>
      </c>
      <c r="G24" s="2" t="s">
        <v>253</v>
      </c>
      <c r="H24" s="12">
        <v>2</v>
      </c>
      <c r="I24" s="24">
        <v>100</v>
      </c>
      <c r="J24" s="12" t="s">
        <v>17</v>
      </c>
      <c r="K24" s="12" t="s">
        <v>17</v>
      </c>
      <c r="L24" s="12" t="s">
        <v>17</v>
      </c>
      <c r="M24" s="14" t="s">
        <v>264</v>
      </c>
      <c r="N24" s="14" t="s">
        <v>266</v>
      </c>
      <c r="O24" s="35" t="s">
        <v>17</v>
      </c>
      <c r="P24" s="15" t="s">
        <v>17</v>
      </c>
      <c r="Q24" s="15" t="s">
        <v>17</v>
      </c>
      <c r="R24" s="15" t="s">
        <v>17</v>
      </c>
      <c r="S24" s="2" t="s">
        <v>17</v>
      </c>
      <c r="T24" s="15" t="s">
        <v>17</v>
      </c>
      <c r="U24" s="15" t="s">
        <v>17</v>
      </c>
      <c r="V24" s="15" t="s">
        <v>17</v>
      </c>
      <c r="W24" s="15" t="s">
        <v>17</v>
      </c>
      <c r="X24" s="15" t="s">
        <v>17</v>
      </c>
      <c r="Y24" s="15" t="s">
        <v>17</v>
      </c>
      <c r="Z24" s="15" t="s">
        <v>17</v>
      </c>
      <c r="AA24" s="15" t="s">
        <v>17</v>
      </c>
      <c r="AB24" s="15" t="s">
        <v>17</v>
      </c>
      <c r="AC24" s="15" t="s">
        <v>17</v>
      </c>
      <c r="AD24" s="15" t="s">
        <v>17</v>
      </c>
      <c r="AE24" s="15" t="s">
        <v>17</v>
      </c>
      <c r="AF24" s="15" t="s">
        <v>17</v>
      </c>
      <c r="AG24" s="15" t="s">
        <v>17</v>
      </c>
      <c r="AH24" s="15"/>
      <c r="AI24" s="11" t="s">
        <v>17</v>
      </c>
      <c r="AJ24" s="16">
        <v>15</v>
      </c>
      <c r="AK24" s="16">
        <v>28</v>
      </c>
      <c r="AL24" s="11" t="s">
        <v>69</v>
      </c>
      <c r="AM24" s="16">
        <v>15</v>
      </c>
      <c r="AN24" s="16">
        <v>28</v>
      </c>
      <c r="AO24" s="2" t="s">
        <v>266</v>
      </c>
      <c r="AP24" s="2" t="s">
        <v>17</v>
      </c>
      <c r="AQ24" t="s">
        <v>17</v>
      </c>
      <c r="AR24" s="11">
        <v>8</v>
      </c>
      <c r="AS24" s="2">
        <v>2</v>
      </c>
      <c r="AT24" s="2" t="s">
        <v>259</v>
      </c>
      <c r="AU24" s="11" t="s">
        <v>114</v>
      </c>
      <c r="AV24" s="11"/>
      <c r="AW24" s="11"/>
      <c r="AX24" s="11"/>
    </row>
    <row r="25" spans="1:50" ht="58" x14ac:dyDescent="0.35">
      <c r="A25" s="2" t="s">
        <v>49</v>
      </c>
      <c r="B25" s="9" t="s">
        <v>71</v>
      </c>
      <c r="C25" s="10" t="s">
        <v>72</v>
      </c>
      <c r="D25" s="11" t="s">
        <v>57</v>
      </c>
      <c r="E25" s="12" t="s">
        <v>16</v>
      </c>
      <c r="F25" s="12">
        <v>2</v>
      </c>
      <c r="G25" s="2" t="s">
        <v>253</v>
      </c>
      <c r="H25" s="12">
        <v>1</v>
      </c>
      <c r="I25" s="24">
        <v>50</v>
      </c>
      <c r="J25" s="12">
        <v>9</v>
      </c>
      <c r="K25" s="12">
        <v>5</v>
      </c>
      <c r="L25" s="12">
        <f>100*K25/J25</f>
        <v>55.555555555555557</v>
      </c>
      <c r="M25" s="14" t="s">
        <v>264</v>
      </c>
      <c r="N25" s="14" t="s">
        <v>266</v>
      </c>
      <c r="O25" s="35" t="s">
        <v>17</v>
      </c>
      <c r="P25" s="15" t="s">
        <v>17</v>
      </c>
      <c r="Q25" s="15" t="s">
        <v>17</v>
      </c>
      <c r="R25" s="15" t="s">
        <v>17</v>
      </c>
      <c r="S25" s="2" t="s">
        <v>17</v>
      </c>
      <c r="T25" s="15" t="s">
        <v>17</v>
      </c>
      <c r="U25" s="15" t="s">
        <v>17</v>
      </c>
      <c r="V25" s="15" t="s">
        <v>17</v>
      </c>
      <c r="W25" s="15" t="s">
        <v>17</v>
      </c>
      <c r="X25" s="15" t="s">
        <v>17</v>
      </c>
      <c r="Y25" s="15" t="s">
        <v>17</v>
      </c>
      <c r="Z25" s="15" t="s">
        <v>17</v>
      </c>
      <c r="AA25" s="15" t="s">
        <v>17</v>
      </c>
      <c r="AB25" s="15" t="s">
        <v>17</v>
      </c>
      <c r="AC25" s="15" t="s">
        <v>17</v>
      </c>
      <c r="AD25" s="15" t="s">
        <v>17</v>
      </c>
      <c r="AE25" s="15" t="s">
        <v>17</v>
      </c>
      <c r="AF25" s="15" t="s">
        <v>17</v>
      </c>
      <c r="AG25" s="15" t="s">
        <v>17</v>
      </c>
      <c r="AH25" s="15"/>
      <c r="AI25" s="11" t="s">
        <v>417</v>
      </c>
      <c r="AJ25" s="16">
        <v>5</v>
      </c>
      <c r="AK25" s="16">
        <v>15</v>
      </c>
      <c r="AL25" s="27" t="s">
        <v>418</v>
      </c>
      <c r="AM25" s="16">
        <v>5</v>
      </c>
      <c r="AN25" s="16">
        <v>8</v>
      </c>
      <c r="AO25" s="2" t="s">
        <v>266</v>
      </c>
      <c r="AP25" s="2" t="s">
        <v>17</v>
      </c>
      <c r="AQ25" t="s">
        <v>17</v>
      </c>
      <c r="AR25" s="11">
        <v>4</v>
      </c>
      <c r="AS25" s="2">
        <v>1</v>
      </c>
      <c r="AT25" s="2" t="s">
        <v>259</v>
      </c>
      <c r="AU25" s="11" t="s">
        <v>73</v>
      </c>
      <c r="AV25" s="11"/>
      <c r="AW25" s="11"/>
      <c r="AX25" s="11"/>
    </row>
    <row r="26" spans="1:50" ht="14.5" customHeight="1" x14ac:dyDescent="0.35">
      <c r="A26" s="2" t="s">
        <v>49</v>
      </c>
      <c r="B26" s="18" t="s">
        <v>74</v>
      </c>
      <c r="C26" s="10" t="s">
        <v>75</v>
      </c>
      <c r="D26" s="11" t="s">
        <v>57</v>
      </c>
      <c r="E26" s="12" t="s">
        <v>16</v>
      </c>
      <c r="F26" s="12">
        <v>7</v>
      </c>
      <c r="G26" s="2" t="s">
        <v>419</v>
      </c>
      <c r="H26" s="12">
        <v>7</v>
      </c>
      <c r="I26" s="24">
        <v>100</v>
      </c>
      <c r="J26" s="12">
        <v>13</v>
      </c>
      <c r="K26" s="12">
        <v>13</v>
      </c>
      <c r="L26" s="12">
        <v>100</v>
      </c>
      <c r="M26" s="14" t="s">
        <v>264</v>
      </c>
      <c r="N26" s="14" t="s">
        <v>266</v>
      </c>
      <c r="O26" s="35" t="s">
        <v>17</v>
      </c>
      <c r="P26" s="15" t="s">
        <v>17</v>
      </c>
      <c r="Q26" s="15" t="s">
        <v>17</v>
      </c>
      <c r="R26" s="15" t="s">
        <v>17</v>
      </c>
      <c r="S26" s="2" t="s">
        <v>17</v>
      </c>
      <c r="T26" s="15" t="s">
        <v>17</v>
      </c>
      <c r="U26" s="15" t="s">
        <v>17</v>
      </c>
      <c r="V26" s="15" t="s">
        <v>17</v>
      </c>
      <c r="W26" s="15" t="s">
        <v>17</v>
      </c>
      <c r="X26" s="15" t="s">
        <v>17</v>
      </c>
      <c r="Y26" s="15" t="s">
        <v>17</v>
      </c>
      <c r="Z26" s="15" t="s">
        <v>17</v>
      </c>
      <c r="AA26" s="15" t="s">
        <v>17</v>
      </c>
      <c r="AB26" s="15" t="s">
        <v>17</v>
      </c>
      <c r="AC26" s="15" t="s">
        <v>17</v>
      </c>
      <c r="AD26" s="15" t="s">
        <v>17</v>
      </c>
      <c r="AE26" s="15" t="s">
        <v>17</v>
      </c>
      <c r="AF26" s="15" t="s">
        <v>17</v>
      </c>
      <c r="AG26" s="15" t="s">
        <v>17</v>
      </c>
      <c r="AH26" s="15"/>
      <c r="AI26" s="11" t="s">
        <v>17</v>
      </c>
      <c r="AJ26" s="11" t="s">
        <v>17</v>
      </c>
      <c r="AK26" s="11" t="s">
        <v>17</v>
      </c>
      <c r="AL26" s="11" t="s">
        <v>17</v>
      </c>
      <c r="AM26" s="11" t="s">
        <v>17</v>
      </c>
      <c r="AN26" s="11" t="s">
        <v>17</v>
      </c>
      <c r="AO26" s="2" t="s">
        <v>266</v>
      </c>
      <c r="AP26" s="11" t="s">
        <v>17</v>
      </c>
      <c r="AQ26" t="s">
        <v>17</v>
      </c>
      <c r="AR26" s="11" t="s">
        <v>17</v>
      </c>
      <c r="AS26" s="11" t="s">
        <v>17</v>
      </c>
      <c r="AT26" s="11" t="s">
        <v>17</v>
      </c>
      <c r="AU26" s="11" t="s">
        <v>76</v>
      </c>
      <c r="AV26" s="11"/>
      <c r="AW26" s="11"/>
      <c r="AX26" s="11" t="s">
        <v>77</v>
      </c>
    </row>
    <row r="27" spans="1:50" x14ac:dyDescent="0.35">
      <c r="A27" s="2" t="s">
        <v>49</v>
      </c>
      <c r="B27" s="9" t="s">
        <v>78</v>
      </c>
      <c r="C27" s="10" t="s">
        <v>79</v>
      </c>
      <c r="D27" s="11" t="s">
        <v>57</v>
      </c>
      <c r="E27" s="12" t="s">
        <v>16</v>
      </c>
      <c r="F27" s="12">
        <v>1</v>
      </c>
      <c r="G27" s="2" t="s">
        <v>253</v>
      </c>
      <c r="H27" s="12">
        <v>1</v>
      </c>
      <c r="I27" s="24">
        <v>100</v>
      </c>
      <c r="J27" s="12">
        <v>3</v>
      </c>
      <c r="K27" s="12">
        <v>2</v>
      </c>
      <c r="L27" s="12">
        <v>66.7</v>
      </c>
      <c r="M27" s="14" t="s">
        <v>264</v>
      </c>
      <c r="N27" s="14" t="s">
        <v>266</v>
      </c>
      <c r="O27" s="35" t="s">
        <v>17</v>
      </c>
      <c r="P27" s="15" t="s">
        <v>17</v>
      </c>
      <c r="Q27" s="15" t="s">
        <v>17</v>
      </c>
      <c r="R27" s="15" t="s">
        <v>17</v>
      </c>
      <c r="S27" s="2" t="s">
        <v>17</v>
      </c>
      <c r="T27" s="15" t="s">
        <v>17</v>
      </c>
      <c r="U27" s="15" t="s">
        <v>17</v>
      </c>
      <c r="V27" s="15" t="s">
        <v>17</v>
      </c>
      <c r="W27" s="15" t="s">
        <v>17</v>
      </c>
      <c r="X27" s="15" t="s">
        <v>17</v>
      </c>
      <c r="Y27" s="15" t="s">
        <v>17</v>
      </c>
      <c r="Z27" s="15" t="s">
        <v>17</v>
      </c>
      <c r="AA27" s="15" t="s">
        <v>17</v>
      </c>
      <c r="AB27" s="15" t="s">
        <v>17</v>
      </c>
      <c r="AC27" s="15" t="s">
        <v>17</v>
      </c>
      <c r="AD27" s="15" t="s">
        <v>17</v>
      </c>
      <c r="AE27" s="15" t="s">
        <v>17</v>
      </c>
      <c r="AF27" s="15" t="s">
        <v>17</v>
      </c>
      <c r="AG27" s="15" t="s">
        <v>17</v>
      </c>
      <c r="AH27" s="15"/>
      <c r="AI27" s="11" t="s">
        <v>80</v>
      </c>
      <c r="AJ27" s="16">
        <v>41</v>
      </c>
      <c r="AK27" s="16">
        <v>64</v>
      </c>
      <c r="AL27" s="11" t="s">
        <v>81</v>
      </c>
      <c r="AM27" s="16">
        <v>51</v>
      </c>
      <c r="AN27" s="16">
        <v>64</v>
      </c>
      <c r="AO27" s="2" t="s">
        <v>266</v>
      </c>
      <c r="AP27" s="11" t="s">
        <v>17</v>
      </c>
      <c r="AQ27" t="s">
        <v>17</v>
      </c>
      <c r="AR27" s="11" t="s">
        <v>17</v>
      </c>
      <c r="AS27" s="11" t="s">
        <v>17</v>
      </c>
      <c r="AT27" s="11" t="s">
        <v>17</v>
      </c>
      <c r="AU27" s="12" t="s">
        <v>82</v>
      </c>
      <c r="AV27" s="12"/>
      <c r="AW27" s="12"/>
      <c r="AX27" s="12"/>
    </row>
    <row r="28" spans="1:50" ht="29" x14ac:dyDescent="0.35">
      <c r="A28" s="2" t="s">
        <v>49</v>
      </c>
      <c r="B28" s="9" t="s">
        <v>83</v>
      </c>
      <c r="C28" s="10" t="s">
        <v>84</v>
      </c>
      <c r="D28" s="11" t="s">
        <v>57</v>
      </c>
      <c r="E28" s="12" t="s">
        <v>16</v>
      </c>
      <c r="F28" s="12">
        <v>1</v>
      </c>
      <c r="G28" s="2" t="s">
        <v>253</v>
      </c>
      <c r="H28" s="12">
        <v>1</v>
      </c>
      <c r="I28" s="24">
        <v>100</v>
      </c>
      <c r="J28" s="12" t="s">
        <v>17</v>
      </c>
      <c r="K28" s="12" t="s">
        <v>17</v>
      </c>
      <c r="L28" s="12" t="s">
        <v>17</v>
      </c>
      <c r="M28" s="14" t="s">
        <v>264</v>
      </c>
      <c r="N28" s="14" t="s">
        <v>266</v>
      </c>
      <c r="O28" s="35" t="s">
        <v>17</v>
      </c>
      <c r="P28" s="15" t="s">
        <v>17</v>
      </c>
      <c r="Q28" s="15" t="s">
        <v>17</v>
      </c>
      <c r="R28" s="15" t="s">
        <v>17</v>
      </c>
      <c r="S28" s="2" t="s">
        <v>17</v>
      </c>
      <c r="T28" s="15" t="s">
        <v>17</v>
      </c>
      <c r="U28" s="15" t="s">
        <v>17</v>
      </c>
      <c r="V28" s="15" t="s">
        <v>17</v>
      </c>
      <c r="W28" s="15" t="s">
        <v>17</v>
      </c>
      <c r="X28" s="15" t="s">
        <v>17</v>
      </c>
      <c r="Y28" s="15" t="s">
        <v>17</v>
      </c>
      <c r="Z28" s="15" t="s">
        <v>17</v>
      </c>
      <c r="AA28" s="15" t="s">
        <v>17</v>
      </c>
      <c r="AB28" s="15" t="s">
        <v>17</v>
      </c>
      <c r="AC28" s="15" t="s">
        <v>17</v>
      </c>
      <c r="AD28" s="15" t="s">
        <v>17</v>
      </c>
      <c r="AE28" s="15" t="s">
        <v>17</v>
      </c>
      <c r="AF28" s="15" t="s">
        <v>17</v>
      </c>
      <c r="AG28" s="15" t="s">
        <v>17</v>
      </c>
      <c r="AH28" s="15"/>
      <c r="AI28" s="11" t="s">
        <v>17</v>
      </c>
      <c r="AJ28" s="16" t="s">
        <v>17</v>
      </c>
      <c r="AK28" s="16" t="s">
        <v>17</v>
      </c>
      <c r="AL28" s="11">
        <v>16</v>
      </c>
      <c r="AM28" s="16">
        <v>16</v>
      </c>
      <c r="AN28" s="16">
        <v>16</v>
      </c>
      <c r="AO28" s="2" t="s">
        <v>266</v>
      </c>
      <c r="AP28" s="2" t="s">
        <v>17</v>
      </c>
      <c r="AQ28" t="s">
        <v>17</v>
      </c>
      <c r="AR28" s="11" t="s">
        <v>17</v>
      </c>
      <c r="AS28" s="2" t="s">
        <v>17</v>
      </c>
      <c r="AT28" s="2" t="s">
        <v>17</v>
      </c>
      <c r="AU28" s="12" t="s">
        <v>76</v>
      </c>
      <c r="AV28" s="12"/>
      <c r="AW28" s="12"/>
      <c r="AX28" s="12"/>
    </row>
    <row r="29" spans="1:50" ht="29" x14ac:dyDescent="0.35">
      <c r="A29" s="2" t="s">
        <v>49</v>
      </c>
      <c r="B29" s="18" t="s">
        <v>85</v>
      </c>
      <c r="C29" s="10" t="s">
        <v>86</v>
      </c>
      <c r="D29" s="11" t="s">
        <v>57</v>
      </c>
      <c r="E29" s="12" t="s">
        <v>16</v>
      </c>
      <c r="F29" s="12">
        <v>1</v>
      </c>
      <c r="G29" s="2" t="s">
        <v>253</v>
      </c>
      <c r="H29" s="12">
        <v>1</v>
      </c>
      <c r="I29" s="24">
        <v>100</v>
      </c>
      <c r="J29" s="12">
        <v>18</v>
      </c>
      <c r="K29" s="12">
        <v>13</v>
      </c>
      <c r="L29" s="12">
        <v>72</v>
      </c>
      <c r="M29" s="14" t="s">
        <v>264</v>
      </c>
      <c r="N29" s="14" t="s">
        <v>259</v>
      </c>
      <c r="O29" s="36">
        <v>41422</v>
      </c>
      <c r="P29" s="15" t="s">
        <v>294</v>
      </c>
      <c r="Q29" s="2">
        <v>1</v>
      </c>
      <c r="R29" s="2" t="s">
        <v>259</v>
      </c>
      <c r="S29" s="2" t="s">
        <v>259</v>
      </c>
      <c r="T29" s="15">
        <v>165098</v>
      </c>
      <c r="U29" s="4">
        <v>1</v>
      </c>
      <c r="V29" s="7" t="s">
        <v>17</v>
      </c>
      <c r="W29" s="7" t="s">
        <v>17</v>
      </c>
      <c r="X29" s="7" t="s">
        <v>17</v>
      </c>
      <c r="Y29" s="7" t="s">
        <v>17</v>
      </c>
      <c r="Z29" s="7" t="s">
        <v>17</v>
      </c>
      <c r="AA29" s="7" t="s">
        <v>17</v>
      </c>
      <c r="AB29" s="7" t="s">
        <v>17</v>
      </c>
      <c r="AC29" s="7" t="s">
        <v>17</v>
      </c>
      <c r="AD29" s="7"/>
      <c r="AE29" s="7" t="s">
        <v>17</v>
      </c>
      <c r="AF29" s="2" t="s">
        <v>266</v>
      </c>
      <c r="AG29" s="15" t="s">
        <v>297</v>
      </c>
      <c r="AH29" s="15" t="s">
        <v>463</v>
      </c>
      <c r="AI29" s="11" t="s">
        <v>17</v>
      </c>
      <c r="AJ29" s="16">
        <v>18</v>
      </c>
      <c r="AK29" s="16">
        <v>35</v>
      </c>
      <c r="AL29" s="11" t="s">
        <v>17</v>
      </c>
      <c r="AM29" s="16">
        <v>18</v>
      </c>
      <c r="AN29" s="16">
        <v>30</v>
      </c>
      <c r="AO29" s="2" t="s">
        <v>266</v>
      </c>
      <c r="AP29" s="2" t="s">
        <v>17</v>
      </c>
      <c r="AQ29" t="s">
        <v>17</v>
      </c>
      <c r="AR29" s="11">
        <v>12</v>
      </c>
      <c r="AS29" s="2">
        <v>1</v>
      </c>
      <c r="AT29" s="2" t="s">
        <v>259</v>
      </c>
      <c r="AU29" s="12" t="s">
        <v>58</v>
      </c>
      <c r="AV29" s="12"/>
      <c r="AW29" s="12"/>
      <c r="AX29" s="12"/>
    </row>
    <row r="30" spans="1:50" ht="29" x14ac:dyDescent="0.35">
      <c r="A30" s="2" t="s">
        <v>49</v>
      </c>
      <c r="B30" s="9" t="s">
        <v>87</v>
      </c>
      <c r="C30" s="10" t="s">
        <v>88</v>
      </c>
      <c r="D30" s="11" t="s">
        <v>57</v>
      </c>
      <c r="E30" s="12" t="s">
        <v>16</v>
      </c>
      <c r="F30" s="12">
        <v>1</v>
      </c>
      <c r="G30" s="2" t="s">
        <v>253</v>
      </c>
      <c r="H30" s="12">
        <v>1</v>
      </c>
      <c r="I30" s="24">
        <v>100</v>
      </c>
      <c r="J30" s="12">
        <v>16</v>
      </c>
      <c r="K30" s="12">
        <v>11</v>
      </c>
      <c r="L30" s="12">
        <v>69</v>
      </c>
      <c r="M30" s="14" t="s">
        <v>264</v>
      </c>
      <c r="N30" s="14" t="s">
        <v>259</v>
      </c>
      <c r="O30" s="36">
        <v>388919</v>
      </c>
      <c r="P30" s="15" t="s">
        <v>294</v>
      </c>
      <c r="Q30" s="2">
        <v>1</v>
      </c>
      <c r="R30" s="2" t="s">
        <v>259</v>
      </c>
      <c r="S30" s="2" t="s">
        <v>259</v>
      </c>
      <c r="T30" s="15">
        <v>6060192</v>
      </c>
      <c r="U30" s="4">
        <v>1</v>
      </c>
      <c r="V30" s="7" t="s">
        <v>17</v>
      </c>
      <c r="W30" s="7" t="s">
        <v>17</v>
      </c>
      <c r="X30" s="7" t="s">
        <v>17</v>
      </c>
      <c r="Y30" s="7" t="s">
        <v>17</v>
      </c>
      <c r="Z30" s="7" t="s">
        <v>17</v>
      </c>
      <c r="AA30" s="7" t="s">
        <v>17</v>
      </c>
      <c r="AB30" s="7" t="s">
        <v>17</v>
      </c>
      <c r="AC30" s="7" t="s">
        <v>17</v>
      </c>
      <c r="AD30" s="7"/>
      <c r="AE30" s="7" t="s">
        <v>17</v>
      </c>
      <c r="AF30" s="7" t="s">
        <v>17</v>
      </c>
      <c r="AG30" s="15" t="s">
        <v>297</v>
      </c>
      <c r="AH30" s="15" t="s">
        <v>463</v>
      </c>
      <c r="AI30" s="11" t="s">
        <v>17</v>
      </c>
      <c r="AJ30" s="16">
        <v>5</v>
      </c>
      <c r="AK30" s="16">
        <v>39</v>
      </c>
      <c r="AL30" s="28" t="s">
        <v>17</v>
      </c>
      <c r="AM30" s="16">
        <v>10</v>
      </c>
      <c r="AN30" s="16">
        <v>33</v>
      </c>
      <c r="AO30" s="2" t="s">
        <v>266</v>
      </c>
      <c r="AP30" s="2" t="s">
        <v>17</v>
      </c>
      <c r="AQ30" t="s">
        <v>17</v>
      </c>
      <c r="AR30" s="11">
        <v>23</v>
      </c>
      <c r="AS30" s="2">
        <v>1</v>
      </c>
      <c r="AT30" s="2" t="s">
        <v>266</v>
      </c>
      <c r="AU30" s="12" t="s">
        <v>89</v>
      </c>
      <c r="AV30" s="12"/>
      <c r="AW30" s="12"/>
      <c r="AX30" s="12" t="s">
        <v>90</v>
      </c>
    </row>
    <row r="31" spans="1:50" ht="29" x14ac:dyDescent="0.35">
      <c r="A31" s="2" t="s">
        <v>49</v>
      </c>
      <c r="B31" s="9" t="s">
        <v>87</v>
      </c>
      <c r="C31" s="10" t="s">
        <v>88</v>
      </c>
      <c r="D31" s="11" t="s">
        <v>57</v>
      </c>
      <c r="E31" s="12" t="s">
        <v>31</v>
      </c>
      <c r="F31" s="12">
        <v>1</v>
      </c>
      <c r="G31" s="2" t="s">
        <v>253</v>
      </c>
      <c r="H31" s="12">
        <v>1</v>
      </c>
      <c r="I31" s="24">
        <v>100</v>
      </c>
      <c r="J31" s="12">
        <v>1</v>
      </c>
      <c r="K31" s="12">
        <v>6</v>
      </c>
      <c r="L31" s="12">
        <v>17</v>
      </c>
      <c r="M31" s="14" t="s">
        <v>264</v>
      </c>
      <c r="N31" s="14" t="s">
        <v>259</v>
      </c>
      <c r="O31" s="36">
        <f>10^3.1</f>
        <v>1258.925411794168</v>
      </c>
      <c r="P31" s="15" t="s">
        <v>17</v>
      </c>
      <c r="Q31" s="2">
        <v>1</v>
      </c>
      <c r="R31" s="2" t="s">
        <v>266</v>
      </c>
      <c r="S31" s="2" t="s">
        <v>266</v>
      </c>
      <c r="T31" s="15" t="s">
        <v>17</v>
      </c>
      <c r="U31" s="15" t="s">
        <v>17</v>
      </c>
      <c r="V31" s="15" t="s">
        <v>17</v>
      </c>
      <c r="W31" s="15" t="s">
        <v>17</v>
      </c>
      <c r="X31" s="15" t="s">
        <v>17</v>
      </c>
      <c r="Y31" s="15" t="s">
        <v>17</v>
      </c>
      <c r="Z31" s="15" t="s">
        <v>17</v>
      </c>
      <c r="AA31" s="15" t="s">
        <v>17</v>
      </c>
      <c r="AB31" s="15" t="s">
        <v>17</v>
      </c>
      <c r="AC31" s="15" t="s">
        <v>17</v>
      </c>
      <c r="AD31" s="15"/>
      <c r="AE31" s="15" t="s">
        <v>17</v>
      </c>
      <c r="AF31" s="15" t="s">
        <v>17</v>
      </c>
      <c r="AG31" s="15" t="s">
        <v>297</v>
      </c>
      <c r="AH31" s="15" t="s">
        <v>463</v>
      </c>
      <c r="AI31" s="11" t="s">
        <v>17</v>
      </c>
      <c r="AJ31" s="16">
        <v>0</v>
      </c>
      <c r="AK31" s="16">
        <v>21</v>
      </c>
      <c r="AL31" s="28" t="s">
        <v>17</v>
      </c>
      <c r="AM31" s="16">
        <v>15</v>
      </c>
      <c r="AN31" s="16">
        <v>15</v>
      </c>
      <c r="AO31" s="2" t="s">
        <v>266</v>
      </c>
      <c r="AP31" s="11" t="s">
        <v>17</v>
      </c>
      <c r="AQ31" t="s">
        <v>17</v>
      </c>
      <c r="AR31" s="11" t="s">
        <v>17</v>
      </c>
      <c r="AS31" s="11" t="s">
        <v>17</v>
      </c>
      <c r="AT31" s="11" t="s">
        <v>17</v>
      </c>
      <c r="AU31" s="12" t="s">
        <v>89</v>
      </c>
      <c r="AV31" s="12"/>
      <c r="AW31" s="12"/>
      <c r="AX31" s="12" t="s">
        <v>90</v>
      </c>
    </row>
    <row r="32" spans="1:50" x14ac:dyDescent="0.35">
      <c r="A32" s="2" t="s">
        <v>49</v>
      </c>
      <c r="B32" s="9" t="s">
        <v>91</v>
      </c>
      <c r="C32" s="10" t="s">
        <v>92</v>
      </c>
      <c r="D32" s="11" t="s">
        <v>93</v>
      </c>
      <c r="E32" s="12" t="s">
        <v>16</v>
      </c>
      <c r="F32" s="12">
        <v>5</v>
      </c>
      <c r="G32" s="2" t="s">
        <v>253</v>
      </c>
      <c r="H32" s="12">
        <v>0</v>
      </c>
      <c r="I32" s="24">
        <v>0</v>
      </c>
      <c r="J32" s="12" t="s">
        <v>17</v>
      </c>
      <c r="K32" s="12" t="s">
        <v>17</v>
      </c>
      <c r="L32" s="12" t="s">
        <v>17</v>
      </c>
      <c r="M32" s="12" t="s">
        <v>17</v>
      </c>
      <c r="N32" s="14" t="s">
        <v>266</v>
      </c>
      <c r="O32" s="35" t="s">
        <v>17</v>
      </c>
      <c r="P32" s="15" t="s">
        <v>17</v>
      </c>
      <c r="Q32" s="15" t="s">
        <v>17</v>
      </c>
      <c r="R32" s="15" t="s">
        <v>17</v>
      </c>
      <c r="S32" s="2" t="s">
        <v>17</v>
      </c>
      <c r="T32" s="15" t="s">
        <v>17</v>
      </c>
      <c r="U32" s="15" t="s">
        <v>17</v>
      </c>
      <c r="V32" s="15" t="s">
        <v>17</v>
      </c>
      <c r="W32" s="15" t="s">
        <v>17</v>
      </c>
      <c r="X32" s="15" t="s">
        <v>17</v>
      </c>
      <c r="Y32" s="15" t="s">
        <v>17</v>
      </c>
      <c r="Z32" s="15" t="s">
        <v>17</v>
      </c>
      <c r="AA32" s="15" t="s">
        <v>17</v>
      </c>
      <c r="AB32" s="15" t="s">
        <v>17</v>
      </c>
      <c r="AC32" s="15" t="s">
        <v>17</v>
      </c>
      <c r="AD32" s="15" t="s">
        <v>17</v>
      </c>
      <c r="AE32" s="15" t="s">
        <v>17</v>
      </c>
      <c r="AF32" s="15" t="s">
        <v>17</v>
      </c>
      <c r="AG32" s="15" t="s">
        <v>17</v>
      </c>
      <c r="AH32" s="15"/>
      <c r="AI32" s="11" t="s">
        <v>17</v>
      </c>
      <c r="AJ32" s="16">
        <v>5</v>
      </c>
      <c r="AK32" s="16">
        <v>22</v>
      </c>
      <c r="AL32" s="11" t="s">
        <v>17</v>
      </c>
      <c r="AM32" s="16" t="s">
        <v>17</v>
      </c>
      <c r="AN32" s="16" t="s">
        <v>17</v>
      </c>
      <c r="AO32" s="2" t="s">
        <v>266</v>
      </c>
      <c r="AP32" s="11" t="s">
        <v>17</v>
      </c>
      <c r="AQ32" t="s">
        <v>17</v>
      </c>
      <c r="AR32" s="11" t="s">
        <v>17</v>
      </c>
      <c r="AS32" s="11" t="s">
        <v>17</v>
      </c>
      <c r="AT32" s="11" t="s">
        <v>17</v>
      </c>
      <c r="AU32" s="11" t="s">
        <v>286</v>
      </c>
      <c r="AV32" s="11"/>
      <c r="AW32" s="11"/>
      <c r="AX32" s="12" t="s">
        <v>287</v>
      </c>
    </row>
    <row r="33" spans="1:50" x14ac:dyDescent="0.35">
      <c r="A33" s="2" t="s">
        <v>49</v>
      </c>
      <c r="B33" s="9" t="s">
        <v>91</v>
      </c>
      <c r="C33" s="10" t="s">
        <v>92</v>
      </c>
      <c r="D33" s="11" t="s">
        <v>93</v>
      </c>
      <c r="E33" s="12" t="s">
        <v>16</v>
      </c>
      <c r="F33" s="12">
        <v>4</v>
      </c>
      <c r="G33" s="2" t="s">
        <v>288</v>
      </c>
      <c r="H33" s="12">
        <v>0</v>
      </c>
      <c r="I33" s="24">
        <v>0</v>
      </c>
      <c r="J33" s="12" t="s">
        <v>17</v>
      </c>
      <c r="K33" s="12" t="s">
        <v>17</v>
      </c>
      <c r="L33" s="12" t="s">
        <v>17</v>
      </c>
      <c r="M33" s="12" t="s">
        <v>17</v>
      </c>
      <c r="N33" s="14" t="s">
        <v>266</v>
      </c>
      <c r="O33" s="35" t="s">
        <v>17</v>
      </c>
      <c r="P33" s="15" t="s">
        <v>17</v>
      </c>
      <c r="Q33" s="15" t="s">
        <v>17</v>
      </c>
      <c r="R33" s="15" t="s">
        <v>17</v>
      </c>
      <c r="S33" s="2" t="s">
        <v>17</v>
      </c>
      <c r="T33" s="15" t="s">
        <v>17</v>
      </c>
      <c r="U33" s="15" t="s">
        <v>17</v>
      </c>
      <c r="V33" s="15" t="s">
        <v>17</v>
      </c>
      <c r="W33" s="15" t="s">
        <v>17</v>
      </c>
      <c r="X33" s="15" t="s">
        <v>17</v>
      </c>
      <c r="Y33" s="15" t="s">
        <v>17</v>
      </c>
      <c r="Z33" s="15" t="s">
        <v>17</v>
      </c>
      <c r="AA33" s="15" t="s">
        <v>17</v>
      </c>
      <c r="AB33" s="15" t="s">
        <v>17</v>
      </c>
      <c r="AC33" s="15" t="s">
        <v>17</v>
      </c>
      <c r="AD33" s="15" t="s">
        <v>17</v>
      </c>
      <c r="AE33" s="15" t="s">
        <v>17</v>
      </c>
      <c r="AF33" s="15" t="s">
        <v>17</v>
      </c>
      <c r="AG33" s="15" t="s">
        <v>17</v>
      </c>
      <c r="AH33" s="15"/>
      <c r="AI33" s="11" t="s">
        <v>17</v>
      </c>
      <c r="AJ33" s="16">
        <v>8</v>
      </c>
      <c r="AK33" s="16">
        <v>40</v>
      </c>
      <c r="AL33" s="11" t="s">
        <v>17</v>
      </c>
      <c r="AM33" s="16" t="s">
        <v>17</v>
      </c>
      <c r="AN33" s="16" t="s">
        <v>17</v>
      </c>
      <c r="AO33" s="2" t="s">
        <v>266</v>
      </c>
      <c r="AP33" s="11" t="s">
        <v>17</v>
      </c>
      <c r="AQ33" t="s">
        <v>17</v>
      </c>
      <c r="AR33" s="11" t="s">
        <v>17</v>
      </c>
      <c r="AS33" s="11" t="s">
        <v>17</v>
      </c>
      <c r="AT33" s="11" t="s">
        <v>17</v>
      </c>
      <c r="AU33" s="11" t="s">
        <v>286</v>
      </c>
      <c r="AV33" s="11"/>
      <c r="AW33" s="11"/>
      <c r="AX33" s="12" t="s">
        <v>287</v>
      </c>
    </row>
    <row r="34" spans="1:50" x14ac:dyDescent="0.35">
      <c r="A34" s="2" t="s">
        <v>49</v>
      </c>
      <c r="B34" s="9" t="s">
        <v>91</v>
      </c>
      <c r="C34" s="10" t="s">
        <v>92</v>
      </c>
      <c r="D34" s="11" t="s">
        <v>93</v>
      </c>
      <c r="E34" s="12" t="s">
        <v>31</v>
      </c>
      <c r="F34" s="12">
        <v>4</v>
      </c>
      <c r="G34" s="2" t="s">
        <v>253</v>
      </c>
      <c r="H34" s="12">
        <v>2</v>
      </c>
      <c r="I34" s="24">
        <v>50</v>
      </c>
      <c r="J34" s="12" t="s">
        <v>17</v>
      </c>
      <c r="K34" s="12" t="s">
        <v>17</v>
      </c>
      <c r="L34" s="12" t="s">
        <v>17</v>
      </c>
      <c r="M34" s="12" t="s">
        <v>17</v>
      </c>
      <c r="N34" s="14" t="s">
        <v>266</v>
      </c>
      <c r="O34" s="35" t="s">
        <v>17</v>
      </c>
      <c r="P34" s="15" t="s">
        <v>17</v>
      </c>
      <c r="Q34" s="15" t="s">
        <v>17</v>
      </c>
      <c r="R34" s="15" t="s">
        <v>17</v>
      </c>
      <c r="S34" s="2" t="s">
        <v>17</v>
      </c>
      <c r="T34" s="15" t="s">
        <v>17</v>
      </c>
      <c r="U34" s="15" t="s">
        <v>17</v>
      </c>
      <c r="V34" s="15" t="s">
        <v>17</v>
      </c>
      <c r="W34" s="15" t="s">
        <v>17</v>
      </c>
      <c r="X34" s="15" t="s">
        <v>17</v>
      </c>
      <c r="Y34" s="15" t="s">
        <v>17</v>
      </c>
      <c r="Z34" s="15" t="s">
        <v>17</v>
      </c>
      <c r="AA34" s="15" t="s">
        <v>17</v>
      </c>
      <c r="AB34" s="15" t="s">
        <v>17</v>
      </c>
      <c r="AC34" s="15" t="s">
        <v>17</v>
      </c>
      <c r="AD34" s="15" t="s">
        <v>17</v>
      </c>
      <c r="AE34" s="15" t="s">
        <v>17</v>
      </c>
      <c r="AF34" s="15" t="s">
        <v>17</v>
      </c>
      <c r="AG34" s="15" t="s">
        <v>17</v>
      </c>
      <c r="AH34" s="15"/>
      <c r="AI34" s="11" t="s">
        <v>17</v>
      </c>
      <c r="AJ34" s="16">
        <v>4</v>
      </c>
      <c r="AK34" s="16">
        <v>12</v>
      </c>
      <c r="AL34" s="27" t="s">
        <v>17</v>
      </c>
      <c r="AM34" s="16" t="s">
        <v>17</v>
      </c>
      <c r="AN34" s="16">
        <v>12</v>
      </c>
      <c r="AO34" s="2" t="s">
        <v>266</v>
      </c>
      <c r="AP34" s="2" t="s">
        <v>17</v>
      </c>
      <c r="AQ34" t="s">
        <v>17</v>
      </c>
      <c r="AR34" s="11">
        <v>7</v>
      </c>
      <c r="AS34" s="2">
        <v>2</v>
      </c>
      <c r="AT34" s="2" t="s">
        <v>17</v>
      </c>
      <c r="AU34" s="11" t="s">
        <v>286</v>
      </c>
      <c r="AV34" s="11"/>
      <c r="AW34" s="11"/>
      <c r="AX34" s="12" t="s">
        <v>287</v>
      </c>
    </row>
    <row r="35" spans="1:50" ht="58" x14ac:dyDescent="0.35">
      <c r="A35" s="2" t="s">
        <v>49</v>
      </c>
      <c r="B35" s="9" t="s">
        <v>94</v>
      </c>
      <c r="C35" s="10" t="s">
        <v>95</v>
      </c>
      <c r="D35" s="11" t="s">
        <v>57</v>
      </c>
      <c r="E35" s="12" t="s">
        <v>16</v>
      </c>
      <c r="F35" s="12">
        <v>1</v>
      </c>
      <c r="G35" s="2" t="s">
        <v>253</v>
      </c>
      <c r="H35" s="12">
        <v>1</v>
      </c>
      <c r="I35" s="24">
        <v>100</v>
      </c>
      <c r="J35" s="12">
        <v>5</v>
      </c>
      <c r="K35" s="12">
        <v>3</v>
      </c>
      <c r="L35" s="12">
        <f>100*K35/J35</f>
        <v>60</v>
      </c>
      <c r="M35" s="14" t="s">
        <v>264</v>
      </c>
      <c r="N35" s="14" t="s">
        <v>266</v>
      </c>
      <c r="O35" s="35" t="s">
        <v>17</v>
      </c>
      <c r="P35" s="15" t="s">
        <v>17</v>
      </c>
      <c r="Q35" s="15" t="s">
        <v>17</v>
      </c>
      <c r="R35" s="15" t="s">
        <v>17</v>
      </c>
      <c r="S35" s="2" t="s">
        <v>17</v>
      </c>
      <c r="T35" s="15" t="s">
        <v>17</v>
      </c>
      <c r="U35" s="15" t="s">
        <v>17</v>
      </c>
      <c r="V35" s="15" t="s">
        <v>17</v>
      </c>
      <c r="W35" s="15" t="s">
        <v>17</v>
      </c>
      <c r="X35" s="15" t="s">
        <v>17</v>
      </c>
      <c r="Y35" s="15" t="s">
        <v>17</v>
      </c>
      <c r="Z35" s="15" t="s">
        <v>17</v>
      </c>
      <c r="AA35" s="15" t="s">
        <v>17</v>
      </c>
      <c r="AB35" s="15" t="s">
        <v>17</v>
      </c>
      <c r="AC35" s="15" t="s">
        <v>17</v>
      </c>
      <c r="AD35" s="15" t="s">
        <v>17</v>
      </c>
      <c r="AE35" s="15" t="s">
        <v>17</v>
      </c>
      <c r="AF35" s="15" t="s">
        <v>17</v>
      </c>
      <c r="AG35" s="15" t="s">
        <v>17</v>
      </c>
      <c r="AH35" s="15"/>
      <c r="AI35" s="11" t="s">
        <v>414</v>
      </c>
      <c r="AJ35" s="16">
        <v>22</v>
      </c>
      <c r="AK35" s="16">
        <v>32</v>
      </c>
      <c r="AL35" s="11" t="s">
        <v>415</v>
      </c>
      <c r="AM35" s="16">
        <v>22</v>
      </c>
      <c r="AN35" s="16">
        <v>28</v>
      </c>
      <c r="AO35" s="2" t="s">
        <v>266</v>
      </c>
      <c r="AP35" s="11" t="s">
        <v>17</v>
      </c>
      <c r="AQ35" t="s">
        <v>17</v>
      </c>
      <c r="AR35" s="11">
        <v>6</v>
      </c>
      <c r="AS35" s="11">
        <v>1</v>
      </c>
      <c r="AT35" s="11" t="s">
        <v>259</v>
      </c>
      <c r="AU35" s="11" t="s">
        <v>96</v>
      </c>
      <c r="AV35" s="11"/>
      <c r="AW35" s="11"/>
      <c r="AX35" s="12"/>
    </row>
    <row r="36" spans="1:50" ht="58" x14ac:dyDescent="0.35">
      <c r="A36" s="2" t="s">
        <v>49</v>
      </c>
      <c r="B36" s="9" t="s">
        <v>94</v>
      </c>
      <c r="C36" s="10" t="s">
        <v>95</v>
      </c>
      <c r="D36" s="11" t="s">
        <v>57</v>
      </c>
      <c r="E36" s="12" t="s">
        <v>31</v>
      </c>
      <c r="F36" s="12">
        <v>1</v>
      </c>
      <c r="G36" s="2" t="s">
        <v>253</v>
      </c>
      <c r="H36" s="12">
        <v>1</v>
      </c>
      <c r="I36" s="24">
        <v>100</v>
      </c>
      <c r="J36" s="12">
        <v>5</v>
      </c>
      <c r="K36" s="12">
        <v>2</v>
      </c>
      <c r="L36" s="12">
        <f>100*K36/J36</f>
        <v>40</v>
      </c>
      <c r="M36" s="14" t="s">
        <v>264</v>
      </c>
      <c r="N36" s="14" t="s">
        <v>266</v>
      </c>
      <c r="O36" s="35" t="s">
        <v>17</v>
      </c>
      <c r="P36" s="15" t="s">
        <v>17</v>
      </c>
      <c r="Q36" s="15" t="s">
        <v>17</v>
      </c>
      <c r="R36" s="15" t="s">
        <v>17</v>
      </c>
      <c r="S36" s="2" t="s">
        <v>17</v>
      </c>
      <c r="T36" s="15" t="s">
        <v>17</v>
      </c>
      <c r="U36" s="15" t="s">
        <v>17</v>
      </c>
      <c r="V36" s="15" t="s">
        <v>17</v>
      </c>
      <c r="W36" s="15" t="s">
        <v>17</v>
      </c>
      <c r="X36" s="15" t="s">
        <v>17</v>
      </c>
      <c r="Y36" s="15" t="s">
        <v>17</v>
      </c>
      <c r="Z36" s="15" t="s">
        <v>17</v>
      </c>
      <c r="AA36" s="15" t="s">
        <v>17</v>
      </c>
      <c r="AB36" s="15" t="s">
        <v>17</v>
      </c>
      <c r="AC36" s="15" t="s">
        <v>17</v>
      </c>
      <c r="AD36" s="15" t="s">
        <v>17</v>
      </c>
      <c r="AE36" s="15" t="s">
        <v>17</v>
      </c>
      <c r="AF36" s="15" t="s">
        <v>17</v>
      </c>
      <c r="AG36" s="15" t="s">
        <v>17</v>
      </c>
      <c r="AH36" s="15"/>
      <c r="AI36" s="11" t="s">
        <v>414</v>
      </c>
      <c r="AJ36" s="16">
        <v>22</v>
      </c>
      <c r="AK36" s="16">
        <v>32</v>
      </c>
      <c r="AL36" s="11" t="s">
        <v>416</v>
      </c>
      <c r="AM36" s="16">
        <v>22</v>
      </c>
      <c r="AN36" s="16">
        <v>25</v>
      </c>
      <c r="AO36" s="2" t="s">
        <v>266</v>
      </c>
      <c r="AP36" s="11" t="s">
        <v>17</v>
      </c>
      <c r="AQ36" t="s">
        <v>17</v>
      </c>
      <c r="AR36" s="11">
        <v>4</v>
      </c>
      <c r="AS36" s="11">
        <v>1</v>
      </c>
      <c r="AT36" s="11" t="s">
        <v>259</v>
      </c>
      <c r="AU36" s="11" t="s">
        <v>96</v>
      </c>
      <c r="AV36" s="11"/>
      <c r="AW36" s="11"/>
      <c r="AX36" s="12"/>
    </row>
    <row r="37" spans="1:50" ht="29" x14ac:dyDescent="0.35">
      <c r="A37" s="2" t="s">
        <v>246</v>
      </c>
      <c r="B37" s="29" t="s">
        <v>344</v>
      </c>
      <c r="C37" s="1" t="s">
        <v>347</v>
      </c>
      <c r="D37" s="11" t="s">
        <v>328</v>
      </c>
      <c r="E37" s="12" t="s">
        <v>16</v>
      </c>
      <c r="F37" s="12">
        <v>9</v>
      </c>
      <c r="G37" s="2" t="s">
        <v>253</v>
      </c>
      <c r="H37" s="12">
        <v>4</v>
      </c>
      <c r="I37">
        <f>100*4/9</f>
        <v>44.444444444444443</v>
      </c>
      <c r="J37">
        <v>9</v>
      </c>
      <c r="K37">
        <v>4</v>
      </c>
      <c r="L37">
        <f>100*4/9</f>
        <v>44.444444444444443</v>
      </c>
      <c r="M37" s="14" t="s">
        <v>264</v>
      </c>
      <c r="N37" s="14" t="s">
        <v>259</v>
      </c>
      <c r="O37" s="34">
        <v>70241</v>
      </c>
      <c r="P37" s="15" t="s">
        <v>294</v>
      </c>
      <c r="Q37" s="2">
        <v>4</v>
      </c>
      <c r="R37" s="2" t="s">
        <v>259</v>
      </c>
      <c r="S37" s="2" t="s">
        <v>259</v>
      </c>
      <c r="T37" s="2" t="s">
        <v>17</v>
      </c>
      <c r="U37" s="2" t="s">
        <v>17</v>
      </c>
      <c r="V37" s="2" t="s">
        <v>17</v>
      </c>
      <c r="W37" s="2" t="s">
        <v>17</v>
      </c>
      <c r="X37" s="2" t="s">
        <v>17</v>
      </c>
      <c r="Y37" s="7">
        <v>108.092912</v>
      </c>
      <c r="Z37" s="7">
        <v>277549.1875</v>
      </c>
      <c r="AA37" s="2" t="s">
        <v>312</v>
      </c>
      <c r="AB37" s="2" t="s">
        <v>306</v>
      </c>
      <c r="AC37" s="2" t="s">
        <v>17</v>
      </c>
      <c r="AE37" s="2" t="s">
        <v>17</v>
      </c>
      <c r="AF37" s="2" t="s">
        <v>17</v>
      </c>
      <c r="AG37" s="15" t="s">
        <v>297</v>
      </c>
      <c r="AH37" s="15" t="s">
        <v>463</v>
      </c>
      <c r="AI37" s="2" t="s">
        <v>17</v>
      </c>
      <c r="AJ37" s="5">
        <v>0</v>
      </c>
      <c r="AK37" s="5">
        <v>4</v>
      </c>
      <c r="AL37" t="s">
        <v>17</v>
      </c>
      <c r="AM37" s="5" t="s">
        <v>17</v>
      </c>
      <c r="AN37" s="5" t="s">
        <v>17</v>
      </c>
      <c r="AO37" s="2" t="s">
        <v>266</v>
      </c>
      <c r="AP37" s="5" t="s">
        <v>17</v>
      </c>
      <c r="AQ37" t="s">
        <v>17</v>
      </c>
      <c r="AR37" s="5" t="s">
        <v>17</v>
      </c>
      <c r="AS37" s="5" t="s">
        <v>17</v>
      </c>
      <c r="AT37" s="5" t="s">
        <v>17</v>
      </c>
      <c r="AU37" s="12" t="s">
        <v>355</v>
      </c>
      <c r="AV37" s="12"/>
      <c r="AW37" s="12"/>
      <c r="AX37" t="s">
        <v>356</v>
      </c>
    </row>
    <row r="38" spans="1:50" x14ac:dyDescent="0.35">
      <c r="A38" s="2" t="s">
        <v>246</v>
      </c>
      <c r="B38" s="29" t="s">
        <v>345</v>
      </c>
      <c r="C38" s="1" t="s">
        <v>161</v>
      </c>
      <c r="D38" s="11" t="s">
        <v>328</v>
      </c>
      <c r="E38" s="12" t="s">
        <v>16</v>
      </c>
      <c r="F38" s="12">
        <v>15</v>
      </c>
      <c r="G38" s="2" t="s">
        <v>253</v>
      </c>
      <c r="H38" t="s">
        <v>17</v>
      </c>
      <c r="I38" s="3" t="s">
        <v>17</v>
      </c>
      <c r="J38" s="3" t="s">
        <v>17</v>
      </c>
      <c r="K38" s="3" t="s">
        <v>17</v>
      </c>
      <c r="L38" s="3" t="s">
        <v>17</v>
      </c>
      <c r="M38" s="14" t="s">
        <v>264</v>
      </c>
      <c r="N38" s="14" t="s">
        <v>259</v>
      </c>
      <c r="O38" s="34">
        <v>10000</v>
      </c>
      <c r="P38" s="15" t="s">
        <v>17</v>
      </c>
      <c r="Q38" s="15" t="s">
        <v>17</v>
      </c>
      <c r="R38" s="15" t="s">
        <v>17</v>
      </c>
      <c r="S38" s="15" t="s">
        <v>17</v>
      </c>
      <c r="T38" s="15" t="s">
        <v>17</v>
      </c>
      <c r="U38" s="15" t="s">
        <v>17</v>
      </c>
      <c r="V38" s="15" t="s">
        <v>17</v>
      </c>
      <c r="W38" s="15" t="s">
        <v>17</v>
      </c>
      <c r="X38" s="15" t="s">
        <v>17</v>
      </c>
      <c r="Y38" s="15">
        <v>659</v>
      </c>
      <c r="Z38" s="15">
        <v>7436938</v>
      </c>
      <c r="AA38" s="15" t="s">
        <v>312</v>
      </c>
      <c r="AB38" s="15" t="s">
        <v>371</v>
      </c>
      <c r="AC38" s="15" t="s">
        <v>17</v>
      </c>
      <c r="AD38" s="15"/>
      <c r="AE38" s="15" t="s">
        <v>17</v>
      </c>
      <c r="AF38" s="15" t="s">
        <v>259</v>
      </c>
      <c r="AG38" s="15" t="s">
        <v>297</v>
      </c>
      <c r="AH38" s="15" t="s">
        <v>463</v>
      </c>
      <c r="AJ38" s="5">
        <v>1</v>
      </c>
      <c r="AK38" s="5">
        <v>9</v>
      </c>
      <c r="AL38" t="s">
        <v>17</v>
      </c>
      <c r="AM38" s="5">
        <v>1</v>
      </c>
      <c r="AN38" s="5">
        <v>9</v>
      </c>
      <c r="AO38" s="2" t="s">
        <v>266</v>
      </c>
      <c r="AP38" s="2" t="s">
        <v>17</v>
      </c>
      <c r="AQ38" t="s">
        <v>17</v>
      </c>
      <c r="AR38" t="s">
        <v>17</v>
      </c>
      <c r="AS38" s="2">
        <v>10</v>
      </c>
      <c r="AT38" s="2" t="s">
        <v>259</v>
      </c>
      <c r="AU38" s="12" t="s">
        <v>145</v>
      </c>
      <c r="AV38" s="12"/>
      <c r="AW38" s="12"/>
    </row>
    <row r="39" spans="1:50" x14ac:dyDescent="0.35">
      <c r="A39" s="2" t="s">
        <v>246</v>
      </c>
      <c r="B39" s="29" t="s">
        <v>346</v>
      </c>
      <c r="C39" s="1" t="s">
        <v>435</v>
      </c>
      <c r="D39" s="11" t="s">
        <v>328</v>
      </c>
      <c r="E39" s="12" t="s">
        <v>16</v>
      </c>
      <c r="F39" s="12">
        <v>1</v>
      </c>
      <c r="G39" s="2" t="s">
        <v>253</v>
      </c>
      <c r="H39" s="12">
        <v>1</v>
      </c>
      <c r="I39" s="3">
        <v>100</v>
      </c>
      <c r="J39">
        <v>14</v>
      </c>
      <c r="K39">
        <v>11</v>
      </c>
      <c r="L39">
        <f>100*11/14</f>
        <v>78.571428571428569</v>
      </c>
      <c r="M39" s="14" t="s">
        <v>264</v>
      </c>
      <c r="N39" s="14" t="s">
        <v>259</v>
      </c>
      <c r="O39" s="34">
        <v>5649</v>
      </c>
      <c r="P39" s="15" t="s">
        <v>294</v>
      </c>
      <c r="Q39" s="2">
        <v>1</v>
      </c>
      <c r="R39" s="2" t="s">
        <v>259</v>
      </c>
      <c r="S39" s="2" t="s">
        <v>259</v>
      </c>
      <c r="T39" s="8">
        <v>13593.563910000001</v>
      </c>
      <c r="U39" s="4">
        <v>1</v>
      </c>
      <c r="V39" s="7" t="s">
        <v>17</v>
      </c>
      <c r="W39" s="7" t="s">
        <v>17</v>
      </c>
      <c r="X39" s="7" t="s">
        <v>17</v>
      </c>
      <c r="Y39" s="7" t="s">
        <v>17</v>
      </c>
      <c r="Z39" s="7" t="s">
        <v>17</v>
      </c>
      <c r="AA39" s="7" t="s">
        <v>17</v>
      </c>
      <c r="AB39" s="7" t="s">
        <v>17</v>
      </c>
      <c r="AC39" s="7" t="s">
        <v>17</v>
      </c>
      <c r="AD39" s="7"/>
      <c r="AE39" s="7" t="s">
        <v>17</v>
      </c>
      <c r="AF39" s="7" t="s">
        <v>17</v>
      </c>
      <c r="AG39" s="15" t="s">
        <v>297</v>
      </c>
      <c r="AH39" s="15" t="s">
        <v>463</v>
      </c>
      <c r="AI39" s="2" t="s">
        <v>358</v>
      </c>
      <c r="AJ39" s="5">
        <v>2</v>
      </c>
      <c r="AK39" s="5">
        <v>16</v>
      </c>
      <c r="AL39" t="s">
        <v>357</v>
      </c>
      <c r="AM39" s="5">
        <v>2</v>
      </c>
      <c r="AN39" s="5">
        <v>12</v>
      </c>
      <c r="AO39" s="2" t="s">
        <v>266</v>
      </c>
      <c r="AP39" s="2" t="s">
        <v>17</v>
      </c>
      <c r="AQ39" t="s">
        <v>17</v>
      </c>
      <c r="AR39">
        <v>11</v>
      </c>
      <c r="AS39" s="2">
        <v>1</v>
      </c>
      <c r="AT39" s="2" t="s">
        <v>259</v>
      </c>
      <c r="AX39" s="12" t="s">
        <v>359</v>
      </c>
    </row>
    <row r="40" spans="1:50" ht="29" x14ac:dyDescent="0.35">
      <c r="A40" s="2" t="s">
        <v>246</v>
      </c>
      <c r="B40" s="29" t="s">
        <v>348</v>
      </c>
      <c r="C40" s="1" t="s">
        <v>350</v>
      </c>
      <c r="D40" s="11" t="s">
        <v>329</v>
      </c>
      <c r="E40" s="12" t="s">
        <v>16</v>
      </c>
      <c r="F40" s="12">
        <v>267</v>
      </c>
      <c r="G40" s="2" t="s">
        <v>253</v>
      </c>
      <c r="J40">
        <v>1555</v>
      </c>
      <c r="N40" t="s">
        <v>259</v>
      </c>
      <c r="O40" s="34">
        <v>2259</v>
      </c>
      <c r="P40" s="15" t="s">
        <v>294</v>
      </c>
      <c r="Q40" s="2">
        <v>57</v>
      </c>
      <c r="R40" s="2" t="s">
        <v>259</v>
      </c>
      <c r="S40" s="2" t="s">
        <v>259</v>
      </c>
      <c r="T40" s="8">
        <f>10^5.2</f>
        <v>158489.31924611164</v>
      </c>
      <c r="U40" s="4" t="s">
        <v>17</v>
      </c>
      <c r="V40" s="7" t="s">
        <v>17</v>
      </c>
      <c r="W40" s="7" t="s">
        <v>17</v>
      </c>
      <c r="X40" s="7" t="s">
        <v>17</v>
      </c>
      <c r="Y40" s="7">
        <v>10</v>
      </c>
      <c r="Z40" s="8">
        <f>10^5.2</f>
        <v>158489.31924611164</v>
      </c>
      <c r="AA40" s="2" t="s">
        <v>312</v>
      </c>
      <c r="AB40" s="2" t="s">
        <v>306</v>
      </c>
      <c r="AC40" s="2" t="s">
        <v>17</v>
      </c>
      <c r="AE40" s="2" t="s">
        <v>17</v>
      </c>
      <c r="AF40" s="2" t="s">
        <v>259</v>
      </c>
      <c r="AG40" s="15" t="s">
        <v>297</v>
      </c>
      <c r="AH40" s="15" t="s">
        <v>463</v>
      </c>
      <c r="AI40" t="s">
        <v>361</v>
      </c>
      <c r="AJ40" s="5">
        <v>1</v>
      </c>
      <c r="AK40" s="5">
        <v>120</v>
      </c>
      <c r="AL40" t="s">
        <v>362</v>
      </c>
      <c r="AM40" s="40">
        <v>1</v>
      </c>
      <c r="AN40" s="40">
        <v>16</v>
      </c>
      <c r="AO40" s="2" t="s">
        <v>259</v>
      </c>
      <c r="AP40" s="2" t="s">
        <v>440</v>
      </c>
      <c r="AQ40" s="38">
        <v>16</v>
      </c>
      <c r="AS40" s="2" t="s">
        <v>17</v>
      </c>
      <c r="AT40" s="2" t="s">
        <v>266</v>
      </c>
      <c r="AU40" s="12" t="s">
        <v>360</v>
      </c>
      <c r="AV40" s="12"/>
      <c r="AW40" s="12"/>
      <c r="AX40" s="12" t="s">
        <v>363</v>
      </c>
    </row>
    <row r="41" spans="1:50" x14ac:dyDescent="0.35">
      <c r="A41" s="2" t="s">
        <v>246</v>
      </c>
      <c r="B41" s="29" t="s">
        <v>349</v>
      </c>
      <c r="C41" s="1" t="s">
        <v>351</v>
      </c>
      <c r="D41" s="11" t="s">
        <v>330</v>
      </c>
      <c r="E41" s="12" t="s">
        <v>16</v>
      </c>
      <c r="F41" s="12">
        <v>1</v>
      </c>
      <c r="G41" s="2" t="s">
        <v>288</v>
      </c>
      <c r="H41" s="12">
        <v>1</v>
      </c>
      <c r="I41" s="3">
        <v>100</v>
      </c>
      <c r="J41">
        <v>2</v>
      </c>
      <c r="K41">
        <v>2</v>
      </c>
      <c r="L41">
        <v>100</v>
      </c>
      <c r="M41" s="14" t="s">
        <v>264</v>
      </c>
      <c r="N41" s="14" t="s">
        <v>259</v>
      </c>
      <c r="O41" s="34">
        <v>4651650</v>
      </c>
      <c r="P41" s="15" t="s">
        <v>294</v>
      </c>
      <c r="Q41" s="2">
        <v>1</v>
      </c>
      <c r="R41" s="2" t="s">
        <v>259</v>
      </c>
      <c r="S41" s="2" t="s">
        <v>266</v>
      </c>
      <c r="T41" s="8" t="s">
        <v>367</v>
      </c>
      <c r="U41" s="4">
        <v>1</v>
      </c>
      <c r="V41" s="7" t="s">
        <v>17</v>
      </c>
      <c r="W41" s="7" t="s">
        <v>17</v>
      </c>
      <c r="X41" s="7" t="s">
        <v>17</v>
      </c>
      <c r="Y41" s="7" t="s">
        <v>17</v>
      </c>
      <c r="Z41" s="7" t="s">
        <v>17</v>
      </c>
      <c r="AA41" s="7" t="s">
        <v>17</v>
      </c>
      <c r="AB41" s="7" t="s">
        <v>17</v>
      </c>
      <c r="AC41" s="7" t="s">
        <v>17</v>
      </c>
      <c r="AD41" s="7"/>
      <c r="AE41" s="7" t="s">
        <v>17</v>
      </c>
      <c r="AF41" s="7" t="s">
        <v>17</v>
      </c>
      <c r="AG41" s="15" t="s">
        <v>297</v>
      </c>
      <c r="AH41" s="15" t="s">
        <v>463</v>
      </c>
      <c r="AI41" s="2" t="s">
        <v>368</v>
      </c>
      <c r="AJ41" s="5">
        <v>10</v>
      </c>
      <c r="AK41" s="5">
        <v>21</v>
      </c>
      <c r="AL41" t="s">
        <v>369</v>
      </c>
      <c r="AM41" s="5">
        <v>10</v>
      </c>
      <c r="AN41" s="5">
        <v>21</v>
      </c>
      <c r="AO41" s="2" t="s">
        <v>266</v>
      </c>
      <c r="AP41" s="2" t="s">
        <v>17</v>
      </c>
      <c r="AQ41" t="s">
        <v>17</v>
      </c>
      <c r="AR41">
        <v>12</v>
      </c>
      <c r="AS41" s="2">
        <v>1</v>
      </c>
      <c r="AT41" s="2" t="s">
        <v>259</v>
      </c>
      <c r="AU41" s="12" t="s">
        <v>145</v>
      </c>
      <c r="AV41" s="12"/>
      <c r="AW41" s="12"/>
    </row>
    <row r="42" spans="1:50" x14ac:dyDescent="0.35">
      <c r="A42" s="2" t="s">
        <v>246</v>
      </c>
      <c r="B42" s="30" t="s">
        <v>352</v>
      </c>
      <c r="C42" s="1" t="s">
        <v>353</v>
      </c>
      <c r="D42" s="11" t="s">
        <v>330</v>
      </c>
      <c r="E42" s="12" t="s">
        <v>16</v>
      </c>
      <c r="F42" s="12">
        <v>13</v>
      </c>
      <c r="G42" s="2" t="s">
        <v>354</v>
      </c>
      <c r="H42">
        <v>4</v>
      </c>
      <c r="I42" s="3">
        <v>28.6</v>
      </c>
      <c r="J42">
        <v>129</v>
      </c>
      <c r="K42">
        <v>18</v>
      </c>
      <c r="N42" t="s">
        <v>259</v>
      </c>
      <c r="O42" s="34">
        <v>880</v>
      </c>
      <c r="P42" s="15" t="s">
        <v>294</v>
      </c>
      <c r="Q42" s="2">
        <v>12</v>
      </c>
      <c r="R42" s="2" t="s">
        <v>266</v>
      </c>
      <c r="S42" s="2" t="s">
        <v>266</v>
      </c>
      <c r="T42" s="8" t="s">
        <v>370</v>
      </c>
      <c r="U42" s="4">
        <v>12</v>
      </c>
      <c r="V42" s="7" t="s">
        <v>17</v>
      </c>
      <c r="W42" s="7" t="s">
        <v>17</v>
      </c>
      <c r="X42" s="7" t="s">
        <v>17</v>
      </c>
      <c r="Y42" s="7">
        <v>30</v>
      </c>
      <c r="Z42" s="7">
        <v>10000</v>
      </c>
      <c r="AA42" s="2" t="s">
        <v>312</v>
      </c>
      <c r="AB42" s="2" t="s">
        <v>371</v>
      </c>
      <c r="AC42" s="2" t="s">
        <v>17</v>
      </c>
      <c r="AE42" s="2" t="s">
        <v>17</v>
      </c>
      <c r="AF42" s="2" t="s">
        <v>266</v>
      </c>
      <c r="AG42" s="15" t="s">
        <v>297</v>
      </c>
      <c r="AH42" s="15" t="s">
        <v>463</v>
      </c>
      <c r="AI42" t="s">
        <v>372</v>
      </c>
      <c r="AJ42" s="5">
        <v>0</v>
      </c>
      <c r="AK42" s="5">
        <v>28</v>
      </c>
      <c r="AL42" t="s">
        <v>17</v>
      </c>
      <c r="AM42" s="5">
        <v>1</v>
      </c>
      <c r="AN42" s="5">
        <v>25</v>
      </c>
      <c r="AO42" s="2" t="s">
        <v>266</v>
      </c>
      <c r="AP42" s="2" t="s">
        <v>17</v>
      </c>
      <c r="AQ42" t="s">
        <v>17</v>
      </c>
      <c r="AR42">
        <v>25</v>
      </c>
      <c r="AS42" s="2">
        <v>12</v>
      </c>
      <c r="AT42" s="2" t="s">
        <v>259</v>
      </c>
      <c r="AX42" t="s">
        <v>373</v>
      </c>
    </row>
    <row r="43" spans="1:50" x14ac:dyDescent="0.35">
      <c r="A43" s="2" t="s">
        <v>246</v>
      </c>
      <c r="B43" s="29" t="s">
        <v>364</v>
      </c>
      <c r="C43" s="1" t="s">
        <v>365</v>
      </c>
      <c r="D43" s="11" t="s">
        <v>329</v>
      </c>
      <c r="E43" s="12" t="s">
        <v>16</v>
      </c>
      <c r="F43" s="12">
        <v>53</v>
      </c>
      <c r="G43" s="2" t="s">
        <v>253</v>
      </c>
      <c r="H43" t="s">
        <v>17</v>
      </c>
      <c r="I43" s="3" t="s">
        <v>17</v>
      </c>
      <c r="J43">
        <v>77</v>
      </c>
      <c r="L43" t="s">
        <v>17</v>
      </c>
      <c r="M43" t="s">
        <v>264</v>
      </c>
      <c r="N43" t="s">
        <v>266</v>
      </c>
      <c r="O43" s="34" t="s">
        <v>17</v>
      </c>
      <c r="P43" s="15" t="s">
        <v>17</v>
      </c>
      <c r="Q43" s="2" t="s">
        <v>17</v>
      </c>
      <c r="R43" s="15" t="s">
        <v>17</v>
      </c>
      <c r="S43" s="15" t="s">
        <v>17</v>
      </c>
      <c r="T43" s="15" t="s">
        <v>17</v>
      </c>
      <c r="U43" s="15" t="s">
        <v>17</v>
      </c>
      <c r="V43" s="15" t="s">
        <v>17</v>
      </c>
      <c r="W43" s="15" t="s">
        <v>17</v>
      </c>
      <c r="X43" s="15" t="s">
        <v>17</v>
      </c>
      <c r="Y43" s="15" t="s">
        <v>17</v>
      </c>
      <c r="Z43" s="15" t="s">
        <v>17</v>
      </c>
      <c r="AA43" s="15" t="s">
        <v>17</v>
      </c>
      <c r="AB43" s="15" t="s">
        <v>17</v>
      </c>
      <c r="AC43" s="15" t="s">
        <v>17</v>
      </c>
      <c r="AD43" s="15" t="s">
        <v>17</v>
      </c>
      <c r="AE43" s="15" t="s">
        <v>17</v>
      </c>
      <c r="AF43" s="15" t="s">
        <v>17</v>
      </c>
      <c r="AG43" s="15" t="s">
        <v>17</v>
      </c>
      <c r="AH43" s="15"/>
      <c r="AI43" s="15" t="s">
        <v>17</v>
      </c>
      <c r="AJ43" s="5">
        <v>0</v>
      </c>
      <c r="AK43" s="5">
        <v>33</v>
      </c>
      <c r="AL43" t="s">
        <v>17</v>
      </c>
      <c r="AM43" s="40">
        <v>1</v>
      </c>
      <c r="AN43" s="40">
        <v>16</v>
      </c>
      <c r="AO43" s="2" t="s">
        <v>259</v>
      </c>
      <c r="AP43" s="2" t="s">
        <v>440</v>
      </c>
      <c r="AQ43" s="38">
        <v>16</v>
      </c>
      <c r="AT43" s="2" t="s">
        <v>266</v>
      </c>
      <c r="AU43" s="2" t="s">
        <v>199</v>
      </c>
      <c r="AV43" s="2"/>
      <c r="AW43" s="2"/>
      <c r="AX43" s="2" t="s">
        <v>366</v>
      </c>
    </row>
    <row r="44" spans="1:50" ht="29" x14ac:dyDescent="0.35">
      <c r="A44" s="2" t="s">
        <v>40</v>
      </c>
      <c r="B44" s="18" t="s">
        <v>41</v>
      </c>
      <c r="C44" s="10" t="s">
        <v>42</v>
      </c>
      <c r="D44" s="11" t="s">
        <v>43</v>
      </c>
      <c r="E44" s="12" t="s">
        <v>16</v>
      </c>
      <c r="F44" s="12">
        <v>4</v>
      </c>
      <c r="G44" s="2" t="s">
        <v>253</v>
      </c>
      <c r="H44" s="12">
        <v>4</v>
      </c>
      <c r="I44" s="24">
        <v>100</v>
      </c>
      <c r="J44" s="12">
        <v>4</v>
      </c>
      <c r="K44" s="12">
        <v>4</v>
      </c>
      <c r="L44" s="12">
        <v>100</v>
      </c>
      <c r="M44" s="14" t="s">
        <v>264</v>
      </c>
      <c r="N44" s="14" t="s">
        <v>266</v>
      </c>
      <c r="O44" s="35" t="s">
        <v>17</v>
      </c>
      <c r="P44" s="15" t="s">
        <v>17</v>
      </c>
      <c r="Q44" s="15" t="s">
        <v>17</v>
      </c>
      <c r="R44" s="15" t="s">
        <v>17</v>
      </c>
      <c r="S44" s="2" t="s">
        <v>17</v>
      </c>
      <c r="T44" s="15" t="s">
        <v>17</v>
      </c>
      <c r="U44" s="15" t="s">
        <v>17</v>
      </c>
      <c r="V44" s="15" t="s">
        <v>17</v>
      </c>
      <c r="W44" s="15" t="s">
        <v>17</v>
      </c>
      <c r="X44" s="15" t="s">
        <v>17</v>
      </c>
      <c r="Y44" s="15" t="s">
        <v>17</v>
      </c>
      <c r="Z44" s="15" t="s">
        <v>17</v>
      </c>
      <c r="AA44" s="15" t="s">
        <v>17</v>
      </c>
      <c r="AB44" s="15" t="s">
        <v>17</v>
      </c>
      <c r="AC44" s="15" t="s">
        <v>17</v>
      </c>
      <c r="AD44" s="15" t="s">
        <v>17</v>
      </c>
      <c r="AE44" s="15" t="s">
        <v>17</v>
      </c>
      <c r="AF44" s="15" t="s">
        <v>17</v>
      </c>
      <c r="AG44" s="15" t="s">
        <v>17</v>
      </c>
      <c r="AH44" s="15"/>
      <c r="AI44" s="11" t="s">
        <v>44</v>
      </c>
      <c r="AJ44" s="16">
        <v>3</v>
      </c>
      <c r="AK44" s="16">
        <v>7</v>
      </c>
      <c r="AL44" s="11" t="s">
        <v>44</v>
      </c>
      <c r="AM44" s="16">
        <v>3</v>
      </c>
      <c r="AN44" s="16">
        <v>7</v>
      </c>
      <c r="AO44" s="2" t="s">
        <v>266</v>
      </c>
      <c r="AP44" s="2" t="s">
        <v>17</v>
      </c>
      <c r="AQ44" t="s">
        <v>17</v>
      </c>
      <c r="AR44" s="11" t="s">
        <v>17</v>
      </c>
      <c r="AS44" s="2" t="s">
        <v>17</v>
      </c>
      <c r="AT44" s="2" t="s">
        <v>17</v>
      </c>
      <c r="AU44" s="12" t="s">
        <v>45</v>
      </c>
      <c r="AV44" s="12"/>
      <c r="AW44" s="12"/>
      <c r="AX44" s="12" t="s">
        <v>17</v>
      </c>
    </row>
    <row r="45" spans="1:50" x14ac:dyDescent="0.35">
      <c r="A45" s="2" t="s">
        <v>40</v>
      </c>
      <c r="B45" s="18" t="s">
        <v>46</v>
      </c>
      <c r="C45" s="10" t="s">
        <v>47</v>
      </c>
      <c r="D45" s="11" t="s">
        <v>251</v>
      </c>
      <c r="E45" s="12" t="s">
        <v>16</v>
      </c>
      <c r="F45" s="12">
        <v>6</v>
      </c>
      <c r="G45" s="2" t="s">
        <v>253</v>
      </c>
      <c r="H45" s="12">
        <v>0</v>
      </c>
      <c r="I45" s="24">
        <v>0</v>
      </c>
      <c r="J45" s="12" t="s">
        <v>17</v>
      </c>
      <c r="K45" s="12" t="s">
        <v>17</v>
      </c>
      <c r="L45" s="12" t="s">
        <v>17</v>
      </c>
      <c r="M45" s="14" t="s">
        <v>264</v>
      </c>
      <c r="N45" s="14" t="s">
        <v>266</v>
      </c>
      <c r="O45" s="35" t="s">
        <v>17</v>
      </c>
      <c r="P45" s="15" t="s">
        <v>17</v>
      </c>
      <c r="Q45" s="15" t="s">
        <v>17</v>
      </c>
      <c r="R45" s="15" t="s">
        <v>17</v>
      </c>
      <c r="S45" s="2" t="s">
        <v>17</v>
      </c>
      <c r="T45" s="15" t="s">
        <v>17</v>
      </c>
      <c r="U45" s="15" t="s">
        <v>17</v>
      </c>
      <c r="V45" s="15" t="s">
        <v>17</v>
      </c>
      <c r="W45" s="15" t="s">
        <v>17</v>
      </c>
      <c r="X45" s="15" t="s">
        <v>17</v>
      </c>
      <c r="Y45" s="15" t="s">
        <v>17</v>
      </c>
      <c r="Z45" s="15" t="s">
        <v>17</v>
      </c>
      <c r="AA45" s="15" t="s">
        <v>17</v>
      </c>
      <c r="AB45" s="15" t="s">
        <v>17</v>
      </c>
      <c r="AC45" s="15" t="s">
        <v>17</v>
      </c>
      <c r="AD45" s="15" t="s">
        <v>17</v>
      </c>
      <c r="AE45" s="15" t="s">
        <v>17</v>
      </c>
      <c r="AF45" s="15" t="s">
        <v>17</v>
      </c>
      <c r="AG45" s="15" t="s">
        <v>17</v>
      </c>
      <c r="AH45" s="15"/>
      <c r="AI45" s="11" t="s">
        <v>17</v>
      </c>
      <c r="AJ45" s="16" t="s">
        <v>17</v>
      </c>
      <c r="AK45" s="16" t="s">
        <v>17</v>
      </c>
      <c r="AL45" s="11" t="s">
        <v>17</v>
      </c>
      <c r="AM45" s="16" t="s">
        <v>17</v>
      </c>
      <c r="AN45" s="16" t="s">
        <v>17</v>
      </c>
      <c r="AO45" s="2" t="s">
        <v>266</v>
      </c>
      <c r="AP45" s="2" t="s">
        <v>17</v>
      </c>
      <c r="AQ45" t="s">
        <v>17</v>
      </c>
      <c r="AR45" s="11" t="s">
        <v>17</v>
      </c>
      <c r="AS45" s="2" t="s">
        <v>17</v>
      </c>
      <c r="AT45" s="2" t="s">
        <v>17</v>
      </c>
      <c r="AU45" s="12" t="s">
        <v>48</v>
      </c>
      <c r="AV45" s="12"/>
      <c r="AW45" s="12"/>
      <c r="AX45" s="12" t="s">
        <v>283</v>
      </c>
    </row>
    <row r="46" spans="1:50" ht="29" x14ac:dyDescent="0.35">
      <c r="A46" s="2" t="s">
        <v>399</v>
      </c>
      <c r="B46" s="18" t="s">
        <v>14</v>
      </c>
      <c r="C46" s="10" t="s">
        <v>15</v>
      </c>
      <c r="D46" s="11" t="s">
        <v>244</v>
      </c>
      <c r="E46" s="12" t="s">
        <v>16</v>
      </c>
      <c r="F46" s="12">
        <v>20</v>
      </c>
      <c r="G46" s="2" t="s">
        <v>253</v>
      </c>
      <c r="H46" s="12">
        <v>5</v>
      </c>
      <c r="I46" s="24">
        <v>25</v>
      </c>
      <c r="J46" s="12" t="s">
        <v>17</v>
      </c>
      <c r="K46" s="12" t="s">
        <v>17</v>
      </c>
      <c r="L46" s="12" t="s">
        <v>17</v>
      </c>
      <c r="M46" s="14" t="s">
        <v>285</v>
      </c>
      <c r="N46" s="14" t="s">
        <v>266</v>
      </c>
      <c r="O46" s="35" t="s">
        <v>17</v>
      </c>
      <c r="P46" s="15" t="s">
        <v>17</v>
      </c>
      <c r="Q46" s="2" t="s">
        <v>17</v>
      </c>
      <c r="R46" s="2" t="s">
        <v>17</v>
      </c>
      <c r="S46" s="2" t="s">
        <v>17</v>
      </c>
      <c r="T46" s="15" t="s">
        <v>17</v>
      </c>
      <c r="U46" s="15" t="s">
        <v>17</v>
      </c>
      <c r="V46" s="15" t="s">
        <v>17</v>
      </c>
      <c r="W46" s="15" t="s">
        <v>17</v>
      </c>
      <c r="X46" s="15" t="s">
        <v>17</v>
      </c>
      <c r="Y46" s="15" t="s">
        <v>17</v>
      </c>
      <c r="Z46" s="15" t="s">
        <v>17</v>
      </c>
      <c r="AA46" s="15" t="s">
        <v>17</v>
      </c>
      <c r="AB46" s="15" t="s">
        <v>17</v>
      </c>
      <c r="AC46" s="15" t="s">
        <v>17</v>
      </c>
      <c r="AD46" s="15" t="s">
        <v>17</v>
      </c>
      <c r="AE46" s="15" t="s">
        <v>17</v>
      </c>
      <c r="AF46" s="15" t="s">
        <v>17</v>
      </c>
      <c r="AG46" s="15" t="s">
        <v>17</v>
      </c>
      <c r="AH46" s="15"/>
      <c r="AI46" s="27" t="s">
        <v>254</v>
      </c>
      <c r="AJ46" s="16">
        <v>1</v>
      </c>
      <c r="AK46" s="16">
        <v>7</v>
      </c>
      <c r="AL46" s="27" t="s">
        <v>255</v>
      </c>
      <c r="AM46" s="16">
        <v>1</v>
      </c>
      <c r="AN46" s="16">
        <v>5</v>
      </c>
      <c r="AO46" s="2" t="s">
        <v>266</v>
      </c>
      <c r="AP46" s="2" t="s">
        <v>17</v>
      </c>
      <c r="AQ46" t="s">
        <v>17</v>
      </c>
      <c r="AR46" s="11">
        <v>5</v>
      </c>
      <c r="AS46" s="2">
        <v>5</v>
      </c>
      <c r="AT46" s="2" t="s">
        <v>259</v>
      </c>
      <c r="AU46" s="12" t="s">
        <v>18</v>
      </c>
      <c r="AV46" s="12"/>
      <c r="AW46" s="12"/>
      <c r="AX46" s="12" t="s">
        <v>256</v>
      </c>
    </row>
    <row r="47" spans="1:50" x14ac:dyDescent="0.35">
      <c r="A47" s="2" t="s">
        <v>399</v>
      </c>
      <c r="B47" s="18" t="s">
        <v>19</v>
      </c>
      <c r="C47" s="10" t="s">
        <v>20</v>
      </c>
      <c r="D47" s="11" t="s">
        <v>244</v>
      </c>
      <c r="E47" s="12" t="s">
        <v>16</v>
      </c>
      <c r="F47" s="12">
        <v>26</v>
      </c>
      <c r="G47" s="2" t="s">
        <v>253</v>
      </c>
      <c r="H47" s="12">
        <v>5</v>
      </c>
      <c r="I47" s="24">
        <v>20</v>
      </c>
      <c r="J47" s="12" t="s">
        <v>17</v>
      </c>
      <c r="K47" s="12" t="s">
        <v>17</v>
      </c>
      <c r="L47" s="12" t="s">
        <v>17</v>
      </c>
      <c r="M47" s="14" t="s">
        <v>285</v>
      </c>
      <c r="N47" s="14" t="s">
        <v>266</v>
      </c>
      <c r="O47" s="35" t="s">
        <v>17</v>
      </c>
      <c r="P47" s="15" t="s">
        <v>17</v>
      </c>
      <c r="Q47" s="2" t="s">
        <v>17</v>
      </c>
      <c r="R47" s="2" t="s">
        <v>17</v>
      </c>
      <c r="S47" s="2" t="s">
        <v>17</v>
      </c>
      <c r="T47" s="15" t="s">
        <v>17</v>
      </c>
      <c r="U47" s="15" t="s">
        <v>17</v>
      </c>
      <c r="V47" s="15" t="s">
        <v>17</v>
      </c>
      <c r="W47" s="15" t="s">
        <v>17</v>
      </c>
      <c r="X47" s="15" t="s">
        <v>17</v>
      </c>
      <c r="Y47" s="15" t="s">
        <v>17</v>
      </c>
      <c r="Z47" s="15" t="s">
        <v>17</v>
      </c>
      <c r="AA47" s="15" t="s">
        <v>17</v>
      </c>
      <c r="AB47" s="15" t="s">
        <v>17</v>
      </c>
      <c r="AC47" s="15" t="s">
        <v>17</v>
      </c>
      <c r="AD47" s="15" t="s">
        <v>17</v>
      </c>
      <c r="AE47" s="15" t="s">
        <v>17</v>
      </c>
      <c r="AF47" s="15" t="s">
        <v>17</v>
      </c>
      <c r="AG47" s="15" t="s">
        <v>17</v>
      </c>
      <c r="AH47" s="15"/>
      <c r="AI47" s="11" t="s">
        <v>17</v>
      </c>
      <c r="AJ47" s="11" t="s">
        <v>17</v>
      </c>
      <c r="AK47" s="11" t="s">
        <v>17</v>
      </c>
      <c r="AL47" s="11" t="s">
        <v>17</v>
      </c>
      <c r="AM47" s="11" t="s">
        <v>17</v>
      </c>
      <c r="AN47" s="11" t="s">
        <v>17</v>
      </c>
      <c r="AO47" s="2" t="s">
        <v>266</v>
      </c>
      <c r="AP47" s="11" t="s">
        <v>17</v>
      </c>
      <c r="AQ47" t="s">
        <v>17</v>
      </c>
      <c r="AR47" s="11" t="s">
        <v>17</v>
      </c>
      <c r="AS47" s="11" t="s">
        <v>17</v>
      </c>
      <c r="AT47" s="11" t="s">
        <v>17</v>
      </c>
      <c r="AU47" s="12" t="s">
        <v>18</v>
      </c>
      <c r="AV47" s="12"/>
      <c r="AW47" s="12"/>
      <c r="AX47" s="12" t="s">
        <v>17</v>
      </c>
    </row>
    <row r="48" spans="1:50" ht="29" x14ac:dyDescent="0.35">
      <c r="A48" s="2" t="s">
        <v>399</v>
      </c>
      <c r="B48" s="18" t="s">
        <v>21</v>
      </c>
      <c r="C48" s="10" t="s">
        <v>22</v>
      </c>
      <c r="D48" s="11" t="s">
        <v>244</v>
      </c>
      <c r="E48" s="12" t="s">
        <v>16</v>
      </c>
      <c r="F48" s="12">
        <v>1</v>
      </c>
      <c r="G48" s="2" t="s">
        <v>253</v>
      </c>
      <c r="H48" s="12">
        <v>1</v>
      </c>
      <c r="I48" s="24">
        <v>100</v>
      </c>
      <c r="J48" s="12" t="s">
        <v>17</v>
      </c>
      <c r="K48" s="12" t="s">
        <v>17</v>
      </c>
      <c r="L48" s="12" t="s">
        <v>17</v>
      </c>
      <c r="M48" s="14" t="s">
        <v>264</v>
      </c>
      <c r="N48" s="14" t="s">
        <v>266</v>
      </c>
      <c r="O48" s="35" t="s">
        <v>17</v>
      </c>
      <c r="P48" s="15" t="s">
        <v>17</v>
      </c>
      <c r="Q48" s="2" t="s">
        <v>17</v>
      </c>
      <c r="R48" s="2" t="s">
        <v>17</v>
      </c>
      <c r="S48" s="2" t="s">
        <v>17</v>
      </c>
      <c r="T48" s="15" t="s">
        <v>17</v>
      </c>
      <c r="U48" s="15" t="s">
        <v>17</v>
      </c>
      <c r="V48" s="15" t="s">
        <v>17</v>
      </c>
      <c r="W48" s="15" t="s">
        <v>17</v>
      </c>
      <c r="X48" s="15" t="s">
        <v>17</v>
      </c>
      <c r="Y48" s="15" t="s">
        <v>17</v>
      </c>
      <c r="Z48" s="15" t="s">
        <v>17</v>
      </c>
      <c r="AA48" s="15" t="s">
        <v>17</v>
      </c>
      <c r="AB48" s="15" t="s">
        <v>17</v>
      </c>
      <c r="AC48" s="15" t="s">
        <v>17</v>
      </c>
      <c r="AD48" s="15" t="s">
        <v>17</v>
      </c>
      <c r="AE48" s="15" t="s">
        <v>17</v>
      </c>
      <c r="AF48" s="15" t="s">
        <v>17</v>
      </c>
      <c r="AG48" s="15" t="s">
        <v>17</v>
      </c>
      <c r="AH48" s="15"/>
      <c r="AI48" s="11" t="s">
        <v>265</v>
      </c>
      <c r="AJ48" s="16">
        <v>2</v>
      </c>
      <c r="AK48" s="16">
        <v>11</v>
      </c>
      <c r="AL48" s="27" t="s">
        <v>248</v>
      </c>
      <c r="AM48" s="16">
        <v>8</v>
      </c>
      <c r="AN48" s="16">
        <v>9</v>
      </c>
      <c r="AO48" s="2" t="s">
        <v>266</v>
      </c>
      <c r="AP48" s="2" t="s">
        <v>17</v>
      </c>
      <c r="AQ48" t="s">
        <v>17</v>
      </c>
      <c r="AR48" s="11">
        <v>2</v>
      </c>
      <c r="AS48" s="2">
        <v>1</v>
      </c>
      <c r="AT48" s="2" t="s">
        <v>266</v>
      </c>
      <c r="AU48" s="12" t="s">
        <v>23</v>
      </c>
      <c r="AV48" s="12"/>
      <c r="AW48" s="12"/>
      <c r="AX48" s="12" t="s">
        <v>17</v>
      </c>
    </row>
    <row r="49" spans="1:50" ht="29" x14ac:dyDescent="0.35">
      <c r="A49" s="2" t="s">
        <v>399</v>
      </c>
      <c r="B49" s="18" t="s">
        <v>24</v>
      </c>
      <c r="C49" s="6" t="s">
        <v>25</v>
      </c>
      <c r="D49" s="11" t="s">
        <v>244</v>
      </c>
      <c r="E49" s="12" t="s">
        <v>16</v>
      </c>
      <c r="F49" s="12">
        <v>6</v>
      </c>
      <c r="G49" s="2" t="s">
        <v>436</v>
      </c>
      <c r="H49" s="12">
        <v>5</v>
      </c>
      <c r="I49" s="24">
        <v>80</v>
      </c>
      <c r="J49" s="12" t="s">
        <v>17</v>
      </c>
      <c r="K49" s="12" t="s">
        <v>17</v>
      </c>
      <c r="L49" s="12" t="s">
        <v>17</v>
      </c>
      <c r="M49" s="14" t="s">
        <v>264</v>
      </c>
      <c r="N49" s="14" t="s">
        <v>266</v>
      </c>
      <c r="O49" s="35" t="s">
        <v>17</v>
      </c>
      <c r="P49" s="15" t="s">
        <v>17</v>
      </c>
      <c r="Q49" s="2" t="s">
        <v>17</v>
      </c>
      <c r="R49" s="2" t="s">
        <v>17</v>
      </c>
      <c r="S49" s="2" t="s">
        <v>17</v>
      </c>
      <c r="T49" s="15" t="s">
        <v>17</v>
      </c>
      <c r="U49" s="15" t="s">
        <v>17</v>
      </c>
      <c r="V49" s="15" t="s">
        <v>17</v>
      </c>
      <c r="W49" s="15" t="s">
        <v>17</v>
      </c>
      <c r="X49" s="15" t="s">
        <v>17</v>
      </c>
      <c r="Y49" s="15" t="s">
        <v>17</v>
      </c>
      <c r="Z49" s="15" t="s">
        <v>17</v>
      </c>
      <c r="AA49" s="15" t="s">
        <v>17</v>
      </c>
      <c r="AB49" s="15" t="s">
        <v>17</v>
      </c>
      <c r="AC49" s="15" t="s">
        <v>17</v>
      </c>
      <c r="AD49" s="15" t="s">
        <v>17</v>
      </c>
      <c r="AE49" s="15" t="s">
        <v>17</v>
      </c>
      <c r="AF49" s="15" t="s">
        <v>17</v>
      </c>
      <c r="AG49" s="15" t="s">
        <v>17</v>
      </c>
      <c r="AH49" s="15"/>
      <c r="AI49" s="11" t="s">
        <v>26</v>
      </c>
      <c r="AJ49" s="16">
        <v>0</v>
      </c>
      <c r="AK49" s="16">
        <v>9</v>
      </c>
      <c r="AL49" s="11" t="s">
        <v>27</v>
      </c>
      <c r="AM49" s="16">
        <v>5</v>
      </c>
      <c r="AN49" s="16">
        <v>10</v>
      </c>
      <c r="AO49" s="2" t="s">
        <v>266</v>
      </c>
      <c r="AP49" s="2" t="s">
        <v>17</v>
      </c>
      <c r="AQ49" t="s">
        <v>17</v>
      </c>
      <c r="AR49" s="11">
        <v>6</v>
      </c>
      <c r="AS49" s="2">
        <v>5</v>
      </c>
      <c r="AT49" s="2" t="s">
        <v>259</v>
      </c>
      <c r="AU49" s="12" t="s">
        <v>249</v>
      </c>
      <c r="AV49" s="12"/>
      <c r="AW49" s="12"/>
      <c r="AX49" s="12" t="s">
        <v>28</v>
      </c>
    </row>
    <row r="50" spans="1:50" ht="29" x14ac:dyDescent="0.35">
      <c r="A50" s="2" t="s">
        <v>123</v>
      </c>
      <c r="B50" s="9" t="s">
        <v>124</v>
      </c>
      <c r="C50" s="10" t="s">
        <v>125</v>
      </c>
      <c r="D50" s="11" t="s">
        <v>126</v>
      </c>
      <c r="E50" s="12" t="s">
        <v>16</v>
      </c>
      <c r="F50" s="12">
        <v>18</v>
      </c>
      <c r="G50" s="2" t="s">
        <v>253</v>
      </c>
      <c r="H50" s="12">
        <v>12</v>
      </c>
      <c r="I50" s="24">
        <v>66</v>
      </c>
      <c r="J50" s="12" t="s">
        <v>17</v>
      </c>
      <c r="K50" s="12" t="s">
        <v>17</v>
      </c>
      <c r="L50" s="12" t="s">
        <v>17</v>
      </c>
      <c r="M50" s="14" t="s">
        <v>264</v>
      </c>
      <c r="N50" s="14" t="s">
        <v>259</v>
      </c>
      <c r="O50" s="36">
        <v>12000</v>
      </c>
      <c r="P50" s="15" t="s">
        <v>294</v>
      </c>
      <c r="Q50" s="2">
        <v>7</v>
      </c>
      <c r="R50" s="2" t="s">
        <v>259</v>
      </c>
      <c r="S50" s="2" t="s">
        <v>259</v>
      </c>
      <c r="T50" s="7">
        <v>880000</v>
      </c>
      <c r="U50" s="4">
        <v>7</v>
      </c>
      <c r="V50" s="7" t="s">
        <v>17</v>
      </c>
      <c r="W50" s="7" t="s">
        <v>17</v>
      </c>
      <c r="X50" s="7" t="s">
        <v>17</v>
      </c>
      <c r="Y50" s="7">
        <v>27</v>
      </c>
      <c r="Z50" s="7">
        <v>880000</v>
      </c>
      <c r="AA50" s="2" t="s">
        <v>312</v>
      </c>
      <c r="AB50" s="12" t="s">
        <v>306</v>
      </c>
      <c r="AC50" s="2" t="s">
        <v>17</v>
      </c>
      <c r="AE50" s="2" t="s">
        <v>17</v>
      </c>
      <c r="AF50" s="2" t="s">
        <v>17</v>
      </c>
      <c r="AG50" s="15" t="s">
        <v>297</v>
      </c>
      <c r="AH50" s="15" t="s">
        <v>463</v>
      </c>
      <c r="AI50" s="11" t="s">
        <v>17</v>
      </c>
      <c r="AJ50" s="16">
        <v>0</v>
      </c>
      <c r="AK50" s="16">
        <v>19</v>
      </c>
      <c r="AL50" s="17" t="s">
        <v>17</v>
      </c>
      <c r="AM50" s="16">
        <v>5</v>
      </c>
      <c r="AN50" s="16">
        <v>17</v>
      </c>
      <c r="AO50" s="2" t="s">
        <v>266</v>
      </c>
      <c r="AP50" s="2" t="s">
        <v>17</v>
      </c>
      <c r="AQ50" t="s">
        <v>17</v>
      </c>
      <c r="AR50" s="11">
        <v>13</v>
      </c>
      <c r="AS50" s="2">
        <v>7</v>
      </c>
      <c r="AT50" s="2" t="s">
        <v>259</v>
      </c>
      <c r="AU50" s="11" t="s">
        <v>127</v>
      </c>
      <c r="AV50" s="11"/>
      <c r="AW50" s="11"/>
      <c r="AX50" s="11" t="s">
        <v>455</v>
      </c>
    </row>
    <row r="51" spans="1:50" ht="29" x14ac:dyDescent="0.35">
      <c r="A51" s="2" t="s">
        <v>123</v>
      </c>
      <c r="B51" s="9" t="s">
        <v>124</v>
      </c>
      <c r="C51" s="10" t="s">
        <v>125</v>
      </c>
      <c r="D51" s="11" t="s">
        <v>126</v>
      </c>
      <c r="E51" s="12" t="s">
        <v>31</v>
      </c>
      <c r="F51" s="12">
        <v>18</v>
      </c>
      <c r="G51" s="2" t="s">
        <v>253</v>
      </c>
      <c r="H51" s="12">
        <v>11</v>
      </c>
      <c r="I51" s="24">
        <v>61</v>
      </c>
      <c r="J51" s="12" t="s">
        <v>17</v>
      </c>
      <c r="K51" s="12" t="s">
        <v>17</v>
      </c>
      <c r="L51" s="12" t="s">
        <v>17</v>
      </c>
      <c r="M51" s="14" t="s">
        <v>264</v>
      </c>
      <c r="N51" s="14" t="s">
        <v>259</v>
      </c>
      <c r="O51" s="36">
        <v>930</v>
      </c>
      <c r="P51" s="15" t="s">
        <v>294</v>
      </c>
      <c r="Q51" s="2">
        <v>6</v>
      </c>
      <c r="R51" s="2" t="s">
        <v>259</v>
      </c>
      <c r="S51" s="2" t="s">
        <v>259</v>
      </c>
      <c r="T51" s="7">
        <f>4.8*10^4</f>
        <v>48000</v>
      </c>
      <c r="U51" s="4">
        <v>6</v>
      </c>
      <c r="V51" s="7" t="s">
        <v>17</v>
      </c>
      <c r="W51" s="7" t="s">
        <v>17</v>
      </c>
      <c r="X51" s="7" t="s">
        <v>17</v>
      </c>
      <c r="Y51" s="7">
        <f>2.7*10</f>
        <v>27</v>
      </c>
      <c r="Z51" s="7">
        <f>4.8*10^4</f>
        <v>48000</v>
      </c>
      <c r="AA51" s="2" t="s">
        <v>312</v>
      </c>
      <c r="AB51" s="12" t="s">
        <v>306</v>
      </c>
      <c r="AC51" s="2" t="s">
        <v>17</v>
      </c>
      <c r="AE51" s="2" t="s">
        <v>17</v>
      </c>
      <c r="AF51" s="2" t="s">
        <v>17</v>
      </c>
      <c r="AG51" s="15" t="s">
        <v>297</v>
      </c>
      <c r="AH51" s="15" t="s">
        <v>463</v>
      </c>
      <c r="AI51" s="11" t="s">
        <v>17</v>
      </c>
      <c r="AJ51" s="16">
        <v>0</v>
      </c>
      <c r="AK51" s="16">
        <v>19</v>
      </c>
      <c r="AL51" s="11" t="s">
        <v>17</v>
      </c>
      <c r="AM51" s="16">
        <v>5</v>
      </c>
      <c r="AN51" s="16">
        <v>9</v>
      </c>
      <c r="AO51" s="2" t="s">
        <v>266</v>
      </c>
      <c r="AP51" s="2" t="s">
        <v>17</v>
      </c>
      <c r="AQ51" t="s">
        <v>17</v>
      </c>
      <c r="AR51" s="11">
        <v>5</v>
      </c>
      <c r="AS51" s="2">
        <v>6</v>
      </c>
      <c r="AT51" s="2" t="s">
        <v>259</v>
      </c>
      <c r="AU51" s="11" t="s">
        <v>127</v>
      </c>
      <c r="AV51" s="11"/>
      <c r="AW51" s="11"/>
      <c r="AX51" s="11" t="s">
        <v>455</v>
      </c>
    </row>
    <row r="52" spans="1:50" ht="29" x14ac:dyDescent="0.35">
      <c r="A52" s="2" t="s">
        <v>123</v>
      </c>
      <c r="B52" s="18" t="s">
        <v>128</v>
      </c>
      <c r="C52" s="10" t="s">
        <v>129</v>
      </c>
      <c r="D52" s="11" t="s">
        <v>126</v>
      </c>
      <c r="E52" s="12" t="s">
        <v>16</v>
      </c>
      <c r="F52" s="12">
        <v>5</v>
      </c>
      <c r="G52" s="2" t="s">
        <v>253</v>
      </c>
      <c r="H52" s="12">
        <v>2</v>
      </c>
      <c r="I52" s="24">
        <f>100*H52/F52</f>
        <v>40</v>
      </c>
      <c r="J52" s="12">
        <v>14</v>
      </c>
      <c r="K52" s="12">
        <v>6</v>
      </c>
      <c r="L52" s="12">
        <f>100*K52/J52</f>
        <v>42.857142857142854</v>
      </c>
      <c r="M52" s="14" t="s">
        <v>264</v>
      </c>
      <c r="N52" s="14" t="s">
        <v>266</v>
      </c>
      <c r="O52" s="35" t="s">
        <v>17</v>
      </c>
      <c r="P52" s="15" t="s">
        <v>17</v>
      </c>
      <c r="Q52" s="15" t="s">
        <v>17</v>
      </c>
      <c r="R52" s="15" t="s">
        <v>17</v>
      </c>
      <c r="S52" s="2" t="s">
        <v>17</v>
      </c>
      <c r="T52" s="15" t="s">
        <v>17</v>
      </c>
      <c r="U52" s="15" t="s">
        <v>17</v>
      </c>
      <c r="V52" s="15" t="s">
        <v>17</v>
      </c>
      <c r="W52" s="15" t="s">
        <v>17</v>
      </c>
      <c r="X52" s="15" t="s">
        <v>17</v>
      </c>
      <c r="Y52" s="15" t="s">
        <v>17</v>
      </c>
      <c r="Z52" s="15" t="s">
        <v>17</v>
      </c>
      <c r="AA52" s="15" t="s">
        <v>17</v>
      </c>
      <c r="AB52" s="15" t="s">
        <v>17</v>
      </c>
      <c r="AC52" s="15" t="s">
        <v>17</v>
      </c>
      <c r="AD52" s="15" t="s">
        <v>17</v>
      </c>
      <c r="AE52" s="15" t="s">
        <v>17</v>
      </c>
      <c r="AF52" s="15" t="s">
        <v>17</v>
      </c>
      <c r="AG52" s="15" t="s">
        <v>17</v>
      </c>
      <c r="AH52" s="15"/>
      <c r="AI52" s="11" t="s">
        <v>409</v>
      </c>
      <c r="AJ52" s="16">
        <v>1</v>
      </c>
      <c r="AK52" s="16">
        <v>40</v>
      </c>
      <c r="AL52" s="11" t="s">
        <v>410</v>
      </c>
      <c r="AM52" s="16">
        <v>1</v>
      </c>
      <c r="AN52" s="16">
        <v>36</v>
      </c>
      <c r="AO52" s="2" t="s">
        <v>266</v>
      </c>
      <c r="AP52" s="2" t="s">
        <v>17</v>
      </c>
      <c r="AQ52" t="s">
        <v>17</v>
      </c>
      <c r="AR52" s="11">
        <v>36</v>
      </c>
      <c r="AS52" s="2" t="s">
        <v>17</v>
      </c>
      <c r="AT52" s="2" t="s">
        <v>259</v>
      </c>
      <c r="AU52" s="12" t="s">
        <v>130</v>
      </c>
      <c r="AV52" s="12"/>
      <c r="AW52" s="12"/>
      <c r="AX52" s="12" t="s">
        <v>456</v>
      </c>
    </row>
    <row r="53" spans="1:50" x14ac:dyDescent="0.35">
      <c r="A53" s="2" t="s">
        <v>123</v>
      </c>
      <c r="B53" s="18" t="s">
        <v>131</v>
      </c>
      <c r="C53" s="10" t="s">
        <v>132</v>
      </c>
      <c r="D53" s="11" t="s">
        <v>126</v>
      </c>
      <c r="E53" s="12" t="s">
        <v>16</v>
      </c>
      <c r="F53" s="12">
        <v>22</v>
      </c>
      <c r="G53" s="2" t="s">
        <v>253</v>
      </c>
      <c r="H53" s="12">
        <v>3</v>
      </c>
      <c r="I53" s="24">
        <v>14</v>
      </c>
      <c r="J53" s="12">
        <v>42</v>
      </c>
      <c r="K53" s="12">
        <v>3</v>
      </c>
      <c r="L53" s="12">
        <v>7.14</v>
      </c>
      <c r="M53" s="14" t="s">
        <v>264</v>
      </c>
      <c r="N53" s="14" t="s">
        <v>266</v>
      </c>
      <c r="O53" s="35" t="s">
        <v>17</v>
      </c>
      <c r="P53" s="15" t="s">
        <v>17</v>
      </c>
      <c r="Q53" s="15" t="s">
        <v>17</v>
      </c>
      <c r="R53" s="15" t="s">
        <v>17</v>
      </c>
      <c r="S53" s="2" t="s">
        <v>17</v>
      </c>
      <c r="T53" s="15" t="s">
        <v>17</v>
      </c>
      <c r="U53" s="15" t="s">
        <v>17</v>
      </c>
      <c r="V53" s="15" t="s">
        <v>17</v>
      </c>
      <c r="W53" s="15" t="s">
        <v>17</v>
      </c>
      <c r="X53" s="15" t="s">
        <v>17</v>
      </c>
      <c r="Y53" s="15" t="s">
        <v>17</v>
      </c>
      <c r="Z53" s="15" t="s">
        <v>17</v>
      </c>
      <c r="AA53" s="15" t="s">
        <v>17</v>
      </c>
      <c r="AB53" s="15" t="s">
        <v>17</v>
      </c>
      <c r="AC53" s="15" t="s">
        <v>17</v>
      </c>
      <c r="AD53" s="15" t="s">
        <v>17</v>
      </c>
      <c r="AE53" s="15" t="s">
        <v>17</v>
      </c>
      <c r="AF53" s="15" t="s">
        <v>17</v>
      </c>
      <c r="AG53" s="15" t="s">
        <v>17</v>
      </c>
      <c r="AH53" s="15"/>
      <c r="AI53" s="11" t="s">
        <v>133</v>
      </c>
      <c r="AJ53" s="16">
        <v>0</v>
      </c>
      <c r="AK53" s="16">
        <v>103</v>
      </c>
      <c r="AL53" s="11" t="s">
        <v>134</v>
      </c>
      <c r="AM53" s="16">
        <v>1</v>
      </c>
      <c r="AN53" s="16">
        <v>10</v>
      </c>
      <c r="AO53" s="2" t="s">
        <v>266</v>
      </c>
      <c r="AP53" s="2" t="s">
        <v>17</v>
      </c>
      <c r="AQ53" t="s">
        <v>17</v>
      </c>
      <c r="AR53" s="11">
        <v>10</v>
      </c>
      <c r="AS53" s="2">
        <v>2</v>
      </c>
      <c r="AT53" s="2" t="s">
        <v>259</v>
      </c>
      <c r="AU53" s="12" t="s">
        <v>135</v>
      </c>
      <c r="AV53" s="12"/>
      <c r="AW53" s="12"/>
      <c r="AX53" s="12"/>
    </row>
    <row r="54" spans="1:50" x14ac:dyDescent="0.35">
      <c r="A54" s="2" t="s">
        <v>123</v>
      </c>
      <c r="B54" s="18" t="s">
        <v>136</v>
      </c>
      <c r="C54" s="10" t="s">
        <v>137</v>
      </c>
      <c r="D54" s="11" t="s">
        <v>126</v>
      </c>
      <c r="E54" s="12" t="s">
        <v>16</v>
      </c>
      <c r="F54" s="12">
        <v>3</v>
      </c>
      <c r="G54" s="2" t="s">
        <v>253</v>
      </c>
      <c r="H54" s="12">
        <v>2</v>
      </c>
      <c r="I54" s="24">
        <v>66</v>
      </c>
      <c r="J54" s="12" t="s">
        <v>17</v>
      </c>
      <c r="K54" s="12" t="s">
        <v>17</v>
      </c>
      <c r="L54" s="12" t="s">
        <v>17</v>
      </c>
      <c r="M54" s="14" t="s">
        <v>264</v>
      </c>
      <c r="N54" s="14" t="s">
        <v>259</v>
      </c>
      <c r="O54" s="36">
        <v>8500</v>
      </c>
      <c r="P54" s="15" t="s">
        <v>294</v>
      </c>
      <c r="Q54" s="2">
        <v>2</v>
      </c>
      <c r="R54" s="2" t="s">
        <v>259</v>
      </c>
      <c r="S54" s="2" t="s">
        <v>266</v>
      </c>
      <c r="T54" s="15" t="s">
        <v>17</v>
      </c>
      <c r="U54" s="7">
        <v>70000</v>
      </c>
      <c r="V54" s="7" t="s">
        <v>17</v>
      </c>
      <c r="W54" s="7" t="s">
        <v>17</v>
      </c>
      <c r="X54" s="7" t="s">
        <v>17</v>
      </c>
      <c r="Y54" s="7">
        <v>10000</v>
      </c>
      <c r="Z54" s="7">
        <v>7000</v>
      </c>
      <c r="AA54" s="2" t="s">
        <v>312</v>
      </c>
      <c r="AB54" s="12" t="s">
        <v>306</v>
      </c>
      <c r="AC54" s="2" t="s">
        <v>17</v>
      </c>
      <c r="AE54" s="2" t="s">
        <v>17</v>
      </c>
      <c r="AF54" s="2" t="s">
        <v>17</v>
      </c>
      <c r="AG54" s="15" t="s">
        <v>297</v>
      </c>
      <c r="AH54" s="15" t="s">
        <v>463</v>
      </c>
      <c r="AI54" s="2" t="s">
        <v>17</v>
      </c>
      <c r="AJ54" s="16">
        <v>3</v>
      </c>
      <c r="AK54" s="16">
        <v>7</v>
      </c>
      <c r="AL54" s="2" t="s">
        <v>17</v>
      </c>
      <c r="AM54" s="16">
        <v>4</v>
      </c>
      <c r="AN54" s="16">
        <v>7</v>
      </c>
      <c r="AO54" s="2" t="s">
        <v>266</v>
      </c>
      <c r="AP54" s="2" t="s">
        <v>17</v>
      </c>
      <c r="AQ54" t="s">
        <v>17</v>
      </c>
      <c r="AR54" s="16">
        <v>4</v>
      </c>
      <c r="AS54" s="2">
        <v>2</v>
      </c>
      <c r="AT54" s="2" t="s">
        <v>259</v>
      </c>
      <c r="AU54" s="12" t="s">
        <v>127</v>
      </c>
      <c r="AV54" s="12"/>
      <c r="AW54" s="12"/>
      <c r="AX54" s="12"/>
    </row>
    <row r="55" spans="1:50" x14ac:dyDescent="0.35">
      <c r="A55" s="2" t="s">
        <v>123</v>
      </c>
      <c r="B55" s="18" t="s">
        <v>138</v>
      </c>
      <c r="C55" s="10" t="s">
        <v>139</v>
      </c>
      <c r="D55" s="11" t="s">
        <v>126</v>
      </c>
      <c r="E55" s="12" t="s">
        <v>16</v>
      </c>
      <c r="F55" s="12">
        <v>34</v>
      </c>
      <c r="G55" s="2" t="s">
        <v>253</v>
      </c>
      <c r="H55" s="12">
        <v>5</v>
      </c>
      <c r="I55" s="24">
        <v>15</v>
      </c>
      <c r="J55" s="12" t="s">
        <v>17</v>
      </c>
      <c r="K55" s="12" t="s">
        <v>17</v>
      </c>
      <c r="L55" s="12" t="s">
        <v>17</v>
      </c>
      <c r="M55" s="14" t="s">
        <v>264</v>
      </c>
      <c r="N55" s="14" t="s">
        <v>259</v>
      </c>
      <c r="O55" s="36">
        <v>12000</v>
      </c>
      <c r="P55" s="15" t="s">
        <v>294</v>
      </c>
      <c r="Q55" s="2">
        <v>5</v>
      </c>
      <c r="R55" s="2" t="s">
        <v>259</v>
      </c>
      <c r="S55" s="2" t="s">
        <v>266</v>
      </c>
      <c r="T55" s="7">
        <v>51000</v>
      </c>
      <c r="U55" s="4">
        <v>5</v>
      </c>
      <c r="V55" s="7" t="s">
        <v>17</v>
      </c>
      <c r="W55" s="7" t="s">
        <v>17</v>
      </c>
      <c r="X55" s="7" t="s">
        <v>17</v>
      </c>
      <c r="Y55" s="7">
        <v>550</v>
      </c>
      <c r="Z55" s="7">
        <v>51000</v>
      </c>
      <c r="AA55" s="2" t="s">
        <v>312</v>
      </c>
      <c r="AB55" s="12" t="s">
        <v>306</v>
      </c>
      <c r="AC55" s="2" t="s">
        <v>17</v>
      </c>
      <c r="AE55" s="2" t="s">
        <v>17</v>
      </c>
      <c r="AF55" s="2" t="s">
        <v>17</v>
      </c>
      <c r="AG55" s="15" t="s">
        <v>297</v>
      </c>
      <c r="AH55" s="15" t="s">
        <v>463</v>
      </c>
      <c r="AI55" s="2" t="s">
        <v>17</v>
      </c>
      <c r="AJ55" s="16">
        <v>2</v>
      </c>
      <c r="AK55" s="16">
        <v>12</v>
      </c>
      <c r="AL55" s="2" t="s">
        <v>17</v>
      </c>
      <c r="AM55" s="16">
        <v>4</v>
      </c>
      <c r="AN55" s="16">
        <v>11</v>
      </c>
      <c r="AO55" s="2" t="s">
        <v>266</v>
      </c>
      <c r="AP55" s="2" t="s">
        <v>17</v>
      </c>
      <c r="AQ55" t="s">
        <v>17</v>
      </c>
      <c r="AR55" s="11">
        <v>8</v>
      </c>
      <c r="AS55" s="2">
        <v>5</v>
      </c>
      <c r="AT55" s="2" t="s">
        <v>259</v>
      </c>
      <c r="AU55" s="12" t="s">
        <v>140</v>
      </c>
      <c r="AV55" s="12"/>
      <c r="AW55" s="12"/>
      <c r="AX55" s="12" t="s">
        <v>322</v>
      </c>
    </row>
    <row r="56" spans="1:50" ht="29" x14ac:dyDescent="0.35">
      <c r="A56" s="2" t="s">
        <v>408</v>
      </c>
      <c r="B56" s="18" t="s">
        <v>225</v>
      </c>
      <c r="C56" s="10" t="s">
        <v>226</v>
      </c>
      <c r="D56" s="11" t="s">
        <v>227</v>
      </c>
      <c r="E56" s="12" t="s">
        <v>16</v>
      </c>
      <c r="F56" s="12">
        <v>1</v>
      </c>
      <c r="G56" s="2" t="s">
        <v>253</v>
      </c>
      <c r="H56" s="12">
        <v>1</v>
      </c>
      <c r="I56" s="24">
        <v>100</v>
      </c>
      <c r="J56" s="12">
        <v>1</v>
      </c>
      <c r="K56" s="12">
        <v>1</v>
      </c>
      <c r="L56" s="12">
        <v>100</v>
      </c>
      <c r="M56" s="14" t="s">
        <v>285</v>
      </c>
      <c r="N56" s="14" t="s">
        <v>266</v>
      </c>
      <c r="O56" s="35" t="s">
        <v>17</v>
      </c>
      <c r="P56" s="15" t="s">
        <v>17</v>
      </c>
      <c r="Q56" s="15" t="s">
        <v>17</v>
      </c>
      <c r="R56" s="15" t="s">
        <v>17</v>
      </c>
      <c r="S56" s="2" t="s">
        <v>17</v>
      </c>
      <c r="T56" s="15" t="s">
        <v>17</v>
      </c>
      <c r="U56" s="15" t="s">
        <v>17</v>
      </c>
      <c r="V56" s="15" t="s">
        <v>17</v>
      </c>
      <c r="W56" s="15" t="s">
        <v>17</v>
      </c>
      <c r="X56" s="15" t="s">
        <v>17</v>
      </c>
      <c r="Y56" s="15" t="s">
        <v>17</v>
      </c>
      <c r="Z56" s="15" t="s">
        <v>17</v>
      </c>
      <c r="AA56" s="15" t="s">
        <v>17</v>
      </c>
      <c r="AB56" s="15" t="s">
        <v>17</v>
      </c>
      <c r="AC56" s="15" t="s">
        <v>17</v>
      </c>
      <c r="AD56" s="15" t="s">
        <v>17</v>
      </c>
      <c r="AE56" s="15" t="s">
        <v>17</v>
      </c>
      <c r="AF56" s="15" t="s">
        <v>17</v>
      </c>
      <c r="AG56" s="15" t="s">
        <v>17</v>
      </c>
      <c r="AH56" s="15"/>
      <c r="AI56" s="11">
        <v>11</v>
      </c>
      <c r="AJ56" s="16">
        <v>11</v>
      </c>
      <c r="AK56" s="16">
        <v>11</v>
      </c>
      <c r="AL56" s="11">
        <v>11</v>
      </c>
      <c r="AM56" s="16">
        <v>11</v>
      </c>
      <c r="AN56" s="16">
        <v>11</v>
      </c>
      <c r="AO56" s="2" t="s">
        <v>266</v>
      </c>
      <c r="AP56" s="2" t="s">
        <v>17</v>
      </c>
      <c r="AQ56" t="s">
        <v>17</v>
      </c>
      <c r="AR56" s="11" t="s">
        <v>17</v>
      </c>
      <c r="AS56" s="2" t="s">
        <v>17</v>
      </c>
      <c r="AT56" s="2" t="s">
        <v>17</v>
      </c>
      <c r="AU56" s="12" t="s">
        <v>412</v>
      </c>
      <c r="AV56" s="12"/>
      <c r="AW56" s="12"/>
      <c r="AX56" s="12" t="s">
        <v>228</v>
      </c>
    </row>
    <row r="57" spans="1:50" ht="29" x14ac:dyDescent="0.35">
      <c r="A57" s="2" t="s">
        <v>408</v>
      </c>
      <c r="B57" s="18" t="s">
        <v>229</v>
      </c>
      <c r="C57" s="10" t="s">
        <v>230</v>
      </c>
      <c r="D57" s="11" t="s">
        <v>227</v>
      </c>
      <c r="E57" s="12" t="s">
        <v>16</v>
      </c>
      <c r="F57" s="12">
        <v>1</v>
      </c>
      <c r="G57" s="2" t="s">
        <v>253</v>
      </c>
      <c r="H57" s="12">
        <v>1</v>
      </c>
      <c r="I57" s="24">
        <v>100</v>
      </c>
      <c r="J57" s="12">
        <v>2</v>
      </c>
      <c r="K57" s="12">
        <v>1</v>
      </c>
      <c r="L57" s="12">
        <v>50</v>
      </c>
      <c r="M57" s="14" t="s">
        <v>264</v>
      </c>
      <c r="N57" s="14" t="s">
        <v>266</v>
      </c>
      <c r="O57" s="35" t="s">
        <v>17</v>
      </c>
      <c r="P57" s="15" t="s">
        <v>17</v>
      </c>
      <c r="Q57" s="15" t="s">
        <v>17</v>
      </c>
      <c r="R57" s="15" t="s">
        <v>17</v>
      </c>
      <c r="S57" s="2" t="s">
        <v>17</v>
      </c>
      <c r="T57" s="15" t="s">
        <v>17</v>
      </c>
      <c r="U57" s="15" t="s">
        <v>17</v>
      </c>
      <c r="V57" s="15" t="s">
        <v>17</v>
      </c>
      <c r="W57" s="15" t="s">
        <v>17</v>
      </c>
      <c r="X57" s="15" t="s">
        <v>17</v>
      </c>
      <c r="Y57" s="15" t="s">
        <v>17</v>
      </c>
      <c r="Z57" s="15" t="s">
        <v>17</v>
      </c>
      <c r="AA57" s="15" t="s">
        <v>17</v>
      </c>
      <c r="AB57" s="15" t="s">
        <v>17</v>
      </c>
      <c r="AC57" s="15" t="s">
        <v>17</v>
      </c>
      <c r="AD57" s="15" t="s">
        <v>17</v>
      </c>
      <c r="AE57" s="15" t="s">
        <v>17</v>
      </c>
      <c r="AF57" s="15" t="s">
        <v>17</v>
      </c>
      <c r="AG57" s="15" t="s">
        <v>17</v>
      </c>
      <c r="AH57" s="15"/>
      <c r="AI57" s="11" t="s">
        <v>231</v>
      </c>
      <c r="AJ57" s="16">
        <v>74</v>
      </c>
      <c r="AK57" s="16">
        <v>117</v>
      </c>
      <c r="AL57" s="11">
        <v>74</v>
      </c>
      <c r="AM57" s="16">
        <v>74</v>
      </c>
      <c r="AN57" s="16">
        <v>74</v>
      </c>
      <c r="AO57" s="2" t="s">
        <v>266</v>
      </c>
      <c r="AP57" s="2" t="s">
        <v>17</v>
      </c>
      <c r="AQ57" t="s">
        <v>17</v>
      </c>
      <c r="AR57" s="11" t="s">
        <v>17</v>
      </c>
      <c r="AS57" s="2" t="s">
        <v>17</v>
      </c>
      <c r="AT57" s="2" t="s">
        <v>17</v>
      </c>
      <c r="AU57" s="12" t="s">
        <v>411</v>
      </c>
      <c r="AV57" s="12"/>
      <c r="AW57" s="12"/>
      <c r="AX57" s="12"/>
    </row>
    <row r="58" spans="1:50" ht="29" x14ac:dyDescent="0.35">
      <c r="A58" s="2" t="s">
        <v>408</v>
      </c>
      <c r="B58" s="18" t="s">
        <v>232</v>
      </c>
      <c r="C58" s="10" t="s">
        <v>233</v>
      </c>
      <c r="D58" s="11" t="s">
        <v>227</v>
      </c>
      <c r="E58" s="12" t="s">
        <v>31</v>
      </c>
      <c r="F58" s="12">
        <v>5</v>
      </c>
      <c r="G58" s="2" t="s">
        <v>253</v>
      </c>
      <c r="H58" s="12">
        <v>4</v>
      </c>
      <c r="I58" s="24">
        <v>80</v>
      </c>
      <c r="J58" s="12" t="s">
        <v>17</v>
      </c>
      <c r="K58" s="12" t="s">
        <v>17</v>
      </c>
      <c r="L58" s="12" t="s">
        <v>17</v>
      </c>
      <c r="M58" s="14" t="s">
        <v>285</v>
      </c>
      <c r="N58" s="14" t="s">
        <v>266</v>
      </c>
      <c r="O58" s="35" t="s">
        <v>17</v>
      </c>
      <c r="P58" s="15" t="s">
        <v>17</v>
      </c>
      <c r="Q58" s="15" t="s">
        <v>17</v>
      </c>
      <c r="R58" s="15" t="s">
        <v>17</v>
      </c>
      <c r="S58" s="2" t="s">
        <v>17</v>
      </c>
      <c r="T58" s="15" t="s">
        <v>17</v>
      </c>
      <c r="U58" s="15" t="s">
        <v>17</v>
      </c>
      <c r="V58" s="15" t="s">
        <v>17</v>
      </c>
      <c r="W58" s="15" t="s">
        <v>17</v>
      </c>
      <c r="X58" s="15" t="s">
        <v>17</v>
      </c>
      <c r="Y58" s="15" t="s">
        <v>17</v>
      </c>
      <c r="Z58" s="15" t="s">
        <v>17</v>
      </c>
      <c r="AA58" s="15" t="s">
        <v>17</v>
      </c>
      <c r="AB58" s="15" t="s">
        <v>17</v>
      </c>
      <c r="AC58" s="15" t="s">
        <v>17</v>
      </c>
      <c r="AD58" s="15" t="s">
        <v>17</v>
      </c>
      <c r="AE58" s="15" t="s">
        <v>17</v>
      </c>
      <c r="AF58" s="15" t="s">
        <v>17</v>
      </c>
      <c r="AG58" s="15" t="s">
        <v>17</v>
      </c>
      <c r="AH58" s="15"/>
      <c r="AI58" s="11" t="s">
        <v>17</v>
      </c>
      <c r="AJ58" s="16" t="s">
        <v>17</v>
      </c>
      <c r="AK58" s="16" t="s">
        <v>17</v>
      </c>
      <c r="AL58" s="16" t="s">
        <v>17</v>
      </c>
      <c r="AM58" s="16" t="s">
        <v>17</v>
      </c>
      <c r="AN58" s="16" t="s">
        <v>17</v>
      </c>
      <c r="AO58" s="2" t="s">
        <v>266</v>
      </c>
      <c r="AP58" s="16" t="s">
        <v>17</v>
      </c>
      <c r="AQ58" t="s">
        <v>17</v>
      </c>
      <c r="AR58" s="16" t="s">
        <v>17</v>
      </c>
      <c r="AS58" s="16" t="s">
        <v>17</v>
      </c>
      <c r="AT58" s="16" t="s">
        <v>17</v>
      </c>
      <c r="AU58" s="12" t="s">
        <v>234</v>
      </c>
      <c r="AV58" s="12"/>
      <c r="AW58" s="12"/>
      <c r="AX58" s="12" t="s">
        <v>235</v>
      </c>
    </row>
    <row r="59" spans="1:50" x14ac:dyDescent="0.35">
      <c r="A59" s="2" t="s">
        <v>408</v>
      </c>
      <c r="B59" s="18" t="s">
        <v>236</v>
      </c>
      <c r="C59" s="10" t="s">
        <v>237</v>
      </c>
      <c r="D59" s="11" t="s">
        <v>402</v>
      </c>
      <c r="E59" s="12" t="s">
        <v>16</v>
      </c>
      <c r="F59" s="12">
        <v>102</v>
      </c>
      <c r="G59" s="2" t="s">
        <v>253</v>
      </c>
      <c r="H59" s="12">
        <v>69</v>
      </c>
      <c r="I59" s="24">
        <v>68</v>
      </c>
      <c r="J59" s="12" t="s">
        <v>17</v>
      </c>
      <c r="K59" s="12" t="s">
        <v>17</v>
      </c>
      <c r="L59" s="12" t="s">
        <v>17</v>
      </c>
      <c r="M59" s="14" t="s">
        <v>264</v>
      </c>
      <c r="N59" s="14" t="s">
        <v>259</v>
      </c>
      <c r="O59" s="36">
        <f>10^2.5</f>
        <v>316.22776601683825</v>
      </c>
      <c r="P59" s="15" t="s">
        <v>294</v>
      </c>
      <c r="Q59" s="2">
        <v>69</v>
      </c>
      <c r="R59" s="2" t="s">
        <v>266</v>
      </c>
      <c r="S59" s="2" t="s">
        <v>266</v>
      </c>
      <c r="T59" s="15">
        <f>10^7.5</f>
        <v>31622776.601683889</v>
      </c>
      <c r="U59" s="4">
        <v>69</v>
      </c>
      <c r="V59" s="7" t="s">
        <v>17</v>
      </c>
      <c r="W59" s="7" t="s">
        <v>17</v>
      </c>
      <c r="X59" s="7" t="s">
        <v>17</v>
      </c>
      <c r="Y59" s="7">
        <v>0</v>
      </c>
      <c r="Z59" s="7">
        <f>10^3.6</f>
        <v>3981.0717055349769</v>
      </c>
      <c r="AA59" s="2" t="s">
        <v>319</v>
      </c>
      <c r="AB59" s="2" t="s">
        <v>306</v>
      </c>
      <c r="AC59" s="2" t="s">
        <v>17</v>
      </c>
      <c r="AE59" s="2" t="s">
        <v>17</v>
      </c>
      <c r="AF59" s="2" t="s">
        <v>266</v>
      </c>
      <c r="AG59" s="15" t="s">
        <v>297</v>
      </c>
      <c r="AH59" s="15" t="s">
        <v>463</v>
      </c>
      <c r="AI59" s="11" t="s">
        <v>17</v>
      </c>
      <c r="AJ59" s="16">
        <v>5</v>
      </c>
      <c r="AK59" s="16">
        <v>19</v>
      </c>
      <c r="AL59" s="11" t="s">
        <v>17</v>
      </c>
      <c r="AM59" s="16">
        <v>5</v>
      </c>
      <c r="AN59" s="16">
        <v>19</v>
      </c>
      <c r="AO59" s="2" t="s">
        <v>266</v>
      </c>
      <c r="AP59" s="2" t="s">
        <v>17</v>
      </c>
      <c r="AQ59" t="s">
        <v>17</v>
      </c>
      <c r="AR59" s="11">
        <v>15</v>
      </c>
      <c r="AS59" s="2">
        <v>69</v>
      </c>
      <c r="AT59" s="2" t="s">
        <v>259</v>
      </c>
      <c r="AU59" s="12" t="s">
        <v>193</v>
      </c>
      <c r="AV59" s="12"/>
      <c r="AW59" s="12"/>
      <c r="AX59" s="12" t="s">
        <v>317</v>
      </c>
    </row>
    <row r="60" spans="1:50" ht="29" x14ac:dyDescent="0.35">
      <c r="A60" s="2" t="s">
        <v>408</v>
      </c>
      <c r="B60" s="19" t="s">
        <v>238</v>
      </c>
      <c r="C60" s="20" t="s">
        <v>239</v>
      </c>
      <c r="D60" s="11" t="s">
        <v>402</v>
      </c>
      <c r="E60" s="12" t="s">
        <v>16</v>
      </c>
      <c r="F60" s="12">
        <v>189</v>
      </c>
      <c r="G60" s="2" t="s">
        <v>253</v>
      </c>
      <c r="H60" s="12">
        <v>65</v>
      </c>
      <c r="I60" s="24">
        <v>34</v>
      </c>
      <c r="J60" s="12" t="s">
        <v>17</v>
      </c>
      <c r="K60" s="12" t="s">
        <v>17</v>
      </c>
      <c r="L60" s="12" t="s">
        <v>17</v>
      </c>
      <c r="M60" s="14" t="s">
        <v>264</v>
      </c>
      <c r="N60" s="14" t="s">
        <v>259</v>
      </c>
      <c r="O60" s="36">
        <v>1500</v>
      </c>
      <c r="P60" s="15" t="s">
        <v>295</v>
      </c>
      <c r="Q60" s="2">
        <v>65</v>
      </c>
      <c r="R60" s="2" t="s">
        <v>266</v>
      </c>
      <c r="S60" s="2" t="s">
        <v>266</v>
      </c>
      <c r="T60" s="15" t="s">
        <v>17</v>
      </c>
      <c r="U60" s="4" t="s">
        <v>17</v>
      </c>
      <c r="V60" s="4" t="s">
        <v>17</v>
      </c>
      <c r="W60" s="7" t="s">
        <v>17</v>
      </c>
      <c r="X60" s="12" t="s">
        <v>17</v>
      </c>
      <c r="Y60" s="7">
        <v>1000</v>
      </c>
      <c r="Z60" s="7">
        <v>2800</v>
      </c>
      <c r="AA60" s="2" t="s">
        <v>318</v>
      </c>
      <c r="AB60" s="2" t="s">
        <v>306</v>
      </c>
      <c r="AC60" s="2" t="s">
        <v>17</v>
      </c>
      <c r="AE60" s="2" t="s">
        <v>17</v>
      </c>
      <c r="AF60" s="2" t="s">
        <v>266</v>
      </c>
      <c r="AG60" s="15" t="s">
        <v>297</v>
      </c>
      <c r="AH60" s="15" t="s">
        <v>463</v>
      </c>
      <c r="AI60" s="16" t="s">
        <v>17</v>
      </c>
      <c r="AJ60" s="16" t="s">
        <v>17</v>
      </c>
      <c r="AK60" s="16" t="s">
        <v>17</v>
      </c>
      <c r="AL60" s="11" t="s">
        <v>17</v>
      </c>
      <c r="AM60" s="11" t="s">
        <v>17</v>
      </c>
      <c r="AN60" s="11" t="s">
        <v>17</v>
      </c>
      <c r="AO60" s="2" t="s">
        <v>266</v>
      </c>
      <c r="AP60" s="11" t="s">
        <v>17</v>
      </c>
      <c r="AQ60" t="s">
        <v>17</v>
      </c>
      <c r="AR60" s="11" t="s">
        <v>17</v>
      </c>
      <c r="AS60" s="11" t="s">
        <v>17</v>
      </c>
      <c r="AT60" s="11" t="s">
        <v>17</v>
      </c>
      <c r="AU60" s="12" t="s">
        <v>193</v>
      </c>
      <c r="AV60" s="12"/>
      <c r="AW60" s="12"/>
      <c r="AX60" s="12" t="s">
        <v>320</v>
      </c>
    </row>
    <row r="61" spans="1:50" ht="29" x14ac:dyDescent="0.35">
      <c r="A61" s="2" t="s">
        <v>408</v>
      </c>
      <c r="B61" s="19" t="s">
        <v>238</v>
      </c>
      <c r="C61" s="20" t="s">
        <v>239</v>
      </c>
      <c r="D61" s="11" t="s">
        <v>402</v>
      </c>
      <c r="E61" s="12" t="s">
        <v>31</v>
      </c>
      <c r="F61" s="12">
        <v>189</v>
      </c>
      <c r="G61" s="2" t="s">
        <v>253</v>
      </c>
      <c r="H61" s="12">
        <v>91</v>
      </c>
      <c r="I61" s="24">
        <v>48</v>
      </c>
      <c r="J61" s="12" t="s">
        <v>17</v>
      </c>
      <c r="K61" s="12" t="s">
        <v>17</v>
      </c>
      <c r="L61" s="12" t="s">
        <v>17</v>
      </c>
      <c r="M61" s="14" t="s">
        <v>264</v>
      </c>
      <c r="N61" s="14" t="s">
        <v>259</v>
      </c>
      <c r="O61" s="36">
        <v>1300</v>
      </c>
      <c r="P61" s="15" t="s">
        <v>295</v>
      </c>
      <c r="Q61" s="2">
        <v>91</v>
      </c>
      <c r="R61" s="2" t="s">
        <v>266</v>
      </c>
      <c r="S61" s="2" t="s">
        <v>266</v>
      </c>
      <c r="T61" s="15" t="s">
        <v>17</v>
      </c>
      <c r="U61" s="15" t="s">
        <v>17</v>
      </c>
      <c r="V61" s="15" t="s">
        <v>17</v>
      </c>
      <c r="W61" s="15" t="s">
        <v>17</v>
      </c>
      <c r="X61" s="15" t="s">
        <v>17</v>
      </c>
      <c r="Y61" s="7">
        <v>1000</v>
      </c>
      <c r="Z61" s="7">
        <v>3000</v>
      </c>
      <c r="AA61" s="2" t="s">
        <v>318</v>
      </c>
      <c r="AB61" s="2" t="s">
        <v>306</v>
      </c>
      <c r="AC61" s="2" t="s">
        <v>17</v>
      </c>
      <c r="AE61" s="2" t="s">
        <v>17</v>
      </c>
      <c r="AF61" s="2" t="s">
        <v>266</v>
      </c>
      <c r="AG61" s="15" t="s">
        <v>297</v>
      </c>
      <c r="AH61" s="15" t="s">
        <v>463</v>
      </c>
      <c r="AI61" s="16" t="s">
        <v>17</v>
      </c>
      <c r="AJ61" s="16" t="s">
        <v>17</v>
      </c>
      <c r="AK61" s="16" t="s">
        <v>17</v>
      </c>
      <c r="AL61" s="11" t="s">
        <v>17</v>
      </c>
      <c r="AM61" s="11" t="s">
        <v>17</v>
      </c>
      <c r="AN61" s="11" t="s">
        <v>17</v>
      </c>
      <c r="AO61" s="2" t="s">
        <v>266</v>
      </c>
      <c r="AP61" s="11" t="s">
        <v>17</v>
      </c>
      <c r="AQ61" t="s">
        <v>17</v>
      </c>
      <c r="AR61" s="11" t="s">
        <v>17</v>
      </c>
      <c r="AS61" s="11" t="s">
        <v>17</v>
      </c>
      <c r="AT61" s="11" t="s">
        <v>17</v>
      </c>
      <c r="AU61" s="12" t="s">
        <v>193</v>
      </c>
      <c r="AV61" s="12"/>
      <c r="AW61" s="12"/>
      <c r="AX61" s="12" t="s">
        <v>320</v>
      </c>
    </row>
    <row r="62" spans="1:50" x14ac:dyDescent="0.35">
      <c r="A62" s="2" t="s">
        <v>408</v>
      </c>
      <c r="B62" s="22" t="s">
        <v>240</v>
      </c>
      <c r="C62" s="20" t="s">
        <v>241</v>
      </c>
      <c r="D62" s="11" t="s">
        <v>402</v>
      </c>
      <c r="E62" s="12" t="s">
        <v>16</v>
      </c>
      <c r="F62" s="12">
        <v>1</v>
      </c>
      <c r="G62" s="2" t="s">
        <v>253</v>
      </c>
      <c r="H62" s="12">
        <v>1</v>
      </c>
      <c r="I62" s="24">
        <v>100</v>
      </c>
      <c r="J62" s="12">
        <v>4</v>
      </c>
      <c r="K62" s="12">
        <v>4</v>
      </c>
      <c r="L62" s="12">
        <v>100</v>
      </c>
      <c r="M62" s="14" t="s">
        <v>264</v>
      </c>
      <c r="N62" s="14" t="s">
        <v>266</v>
      </c>
      <c r="O62" s="35" t="s">
        <v>17</v>
      </c>
      <c r="P62" s="15" t="s">
        <v>17</v>
      </c>
      <c r="Q62" s="15" t="s">
        <v>17</v>
      </c>
      <c r="R62" s="15" t="s">
        <v>17</v>
      </c>
      <c r="S62" s="2" t="s">
        <v>17</v>
      </c>
      <c r="T62" s="15" t="s">
        <v>17</v>
      </c>
      <c r="U62" s="15" t="s">
        <v>17</v>
      </c>
      <c r="V62" s="15" t="s">
        <v>17</v>
      </c>
      <c r="W62" s="15" t="s">
        <v>17</v>
      </c>
      <c r="X62" s="15" t="s">
        <v>17</v>
      </c>
      <c r="Y62" s="15" t="s">
        <v>17</v>
      </c>
      <c r="Z62" s="15" t="s">
        <v>17</v>
      </c>
      <c r="AA62" s="15" t="s">
        <v>17</v>
      </c>
      <c r="AB62" s="15" t="s">
        <v>17</v>
      </c>
      <c r="AC62" s="15" t="s">
        <v>17</v>
      </c>
      <c r="AD62" s="15" t="s">
        <v>17</v>
      </c>
      <c r="AE62" s="15" t="s">
        <v>17</v>
      </c>
      <c r="AF62" s="15" t="s">
        <v>17</v>
      </c>
      <c r="AG62" s="15" t="s">
        <v>17</v>
      </c>
      <c r="AH62" s="15"/>
      <c r="AI62" s="11" t="s">
        <v>413</v>
      </c>
      <c r="AJ62" s="16">
        <v>12</v>
      </c>
      <c r="AK62" s="16">
        <v>15</v>
      </c>
      <c r="AL62" s="11" t="s">
        <v>413</v>
      </c>
      <c r="AM62" s="16">
        <v>12</v>
      </c>
      <c r="AN62" s="16">
        <v>15</v>
      </c>
      <c r="AO62" s="2" t="s">
        <v>266</v>
      </c>
      <c r="AP62" s="2" t="s">
        <v>17</v>
      </c>
      <c r="AQ62" t="s">
        <v>17</v>
      </c>
      <c r="AR62" s="11" t="s">
        <v>17</v>
      </c>
      <c r="AS62" s="2">
        <v>4</v>
      </c>
      <c r="AT62" s="2" t="s">
        <v>259</v>
      </c>
      <c r="AU62" s="12" t="s">
        <v>242</v>
      </c>
      <c r="AV62" s="12"/>
      <c r="AW62" s="12"/>
      <c r="AX62" s="12" t="s">
        <v>243</v>
      </c>
    </row>
    <row r="63" spans="1:50" x14ac:dyDescent="0.35">
      <c r="A63" s="2" t="s">
        <v>390</v>
      </c>
      <c r="B63" s="29" t="s">
        <v>392</v>
      </c>
      <c r="C63" s="1" t="s">
        <v>396</v>
      </c>
      <c r="D63" s="11" t="s">
        <v>391</v>
      </c>
      <c r="E63" s="12" t="s">
        <v>31</v>
      </c>
      <c r="F63" s="12">
        <v>270</v>
      </c>
      <c r="G63" s="2" t="s">
        <v>354</v>
      </c>
      <c r="H63" t="s">
        <v>17</v>
      </c>
      <c r="I63" s="3" t="s">
        <v>17</v>
      </c>
      <c r="J63">
        <v>1350</v>
      </c>
      <c r="K63">
        <v>253</v>
      </c>
      <c r="L63" t="s">
        <v>17</v>
      </c>
      <c r="M63" t="s">
        <v>264</v>
      </c>
      <c r="N63" t="s">
        <v>259</v>
      </c>
      <c r="O63" s="34">
        <v>7500000000</v>
      </c>
      <c r="P63" s="15" t="s">
        <v>294</v>
      </c>
      <c r="Q63" s="2">
        <v>237</v>
      </c>
      <c r="Y63" s="7">
        <v>140000000</v>
      </c>
      <c r="Z63" s="7">
        <v>13000000000</v>
      </c>
      <c r="AA63" s="2" t="s">
        <v>312</v>
      </c>
      <c r="AB63" s="2" t="s">
        <v>393</v>
      </c>
      <c r="AC63" s="2" t="s">
        <v>17</v>
      </c>
      <c r="AD63" s="2" t="s">
        <v>17</v>
      </c>
      <c r="AE63" s="2" t="s">
        <v>17</v>
      </c>
      <c r="AF63" s="2" t="s">
        <v>17</v>
      </c>
      <c r="AG63" s="15" t="s">
        <v>327</v>
      </c>
      <c r="AH63" s="15" t="s">
        <v>463</v>
      </c>
      <c r="AI63" s="2" t="s">
        <v>394</v>
      </c>
      <c r="AJ63" s="5">
        <v>0</v>
      </c>
      <c r="AK63" s="5">
        <v>25</v>
      </c>
      <c r="AL63" s="2" t="s">
        <v>394</v>
      </c>
      <c r="AM63" s="5">
        <v>0</v>
      </c>
      <c r="AN63" s="5">
        <v>25</v>
      </c>
      <c r="AO63" s="2" t="s">
        <v>266</v>
      </c>
      <c r="AP63" s="2" t="s">
        <v>17</v>
      </c>
      <c r="AQ63" t="s">
        <v>17</v>
      </c>
      <c r="AR63">
        <v>25</v>
      </c>
      <c r="AT63" s="2" t="s">
        <v>259</v>
      </c>
      <c r="AU63" s="2" t="s">
        <v>395</v>
      </c>
      <c r="AV63" s="2"/>
      <c r="AW63" s="2"/>
      <c r="AX63" t="s">
        <v>397</v>
      </c>
    </row>
    <row r="64" spans="1:50" ht="43.5" x14ac:dyDescent="0.35">
      <c r="A64" s="2" t="s">
        <v>162</v>
      </c>
      <c r="B64" s="9" t="s">
        <v>163</v>
      </c>
      <c r="C64" s="10" t="s">
        <v>164</v>
      </c>
      <c r="D64" s="11" t="s">
        <v>165</v>
      </c>
      <c r="E64" s="12" t="s">
        <v>16</v>
      </c>
      <c r="F64" s="12">
        <v>12</v>
      </c>
      <c r="G64" s="2" t="s">
        <v>253</v>
      </c>
      <c r="H64" s="12">
        <v>9</v>
      </c>
      <c r="I64" s="24">
        <v>75</v>
      </c>
      <c r="J64" s="12" t="s">
        <v>17</v>
      </c>
      <c r="K64" s="12" t="s">
        <v>17</v>
      </c>
      <c r="L64" s="12" t="s">
        <v>17</v>
      </c>
      <c r="M64" s="14" t="s">
        <v>264</v>
      </c>
      <c r="N64" s="14" t="s">
        <v>266</v>
      </c>
      <c r="O64" s="35" t="s">
        <v>17</v>
      </c>
      <c r="P64" s="15" t="s">
        <v>17</v>
      </c>
      <c r="Q64" s="15" t="s">
        <v>17</v>
      </c>
      <c r="R64" s="15" t="s">
        <v>17</v>
      </c>
      <c r="S64" s="2" t="s">
        <v>17</v>
      </c>
      <c r="T64" s="15" t="s">
        <v>17</v>
      </c>
      <c r="U64" s="15" t="s">
        <v>17</v>
      </c>
      <c r="V64" s="15" t="s">
        <v>17</v>
      </c>
      <c r="W64" s="15" t="s">
        <v>17</v>
      </c>
      <c r="X64" s="15" t="s">
        <v>17</v>
      </c>
      <c r="Y64" s="15" t="s">
        <v>17</v>
      </c>
      <c r="Z64" s="15" t="s">
        <v>17</v>
      </c>
      <c r="AA64" s="15" t="s">
        <v>17</v>
      </c>
      <c r="AB64" s="15" t="s">
        <v>17</v>
      </c>
      <c r="AC64" s="15" t="s">
        <v>17</v>
      </c>
      <c r="AD64" s="15" t="s">
        <v>17</v>
      </c>
      <c r="AE64" s="15" t="s">
        <v>17</v>
      </c>
      <c r="AF64" s="15" t="s">
        <v>17</v>
      </c>
      <c r="AG64" s="15" t="s">
        <v>17</v>
      </c>
      <c r="AH64" s="15"/>
      <c r="AI64" s="11" t="s">
        <v>424</v>
      </c>
      <c r="AJ64" s="16">
        <v>1</v>
      </c>
      <c r="AK64" s="16">
        <v>16</v>
      </c>
      <c r="AL64" s="11" t="s">
        <v>425</v>
      </c>
      <c r="AM64" s="16">
        <v>1</v>
      </c>
      <c r="AN64" s="16">
        <v>16</v>
      </c>
      <c r="AO64" s="2" t="s">
        <v>266</v>
      </c>
      <c r="AP64" s="2" t="s">
        <v>17</v>
      </c>
      <c r="AQ64" t="s">
        <v>17</v>
      </c>
      <c r="AR64" s="11" t="s">
        <v>17</v>
      </c>
      <c r="AS64" s="2" t="s">
        <v>17</v>
      </c>
      <c r="AT64" s="2" t="s">
        <v>17</v>
      </c>
      <c r="AU64" s="12" t="s">
        <v>167</v>
      </c>
      <c r="AV64" s="12"/>
      <c r="AW64" s="12"/>
      <c r="AX64" s="12" t="s">
        <v>427</v>
      </c>
    </row>
    <row r="65" spans="1:50" ht="29" x14ac:dyDescent="0.35">
      <c r="A65" s="2" t="s">
        <v>162</v>
      </c>
      <c r="B65" s="9" t="s">
        <v>163</v>
      </c>
      <c r="C65" s="10" t="s">
        <v>164</v>
      </c>
      <c r="D65" s="11" t="s">
        <v>165</v>
      </c>
      <c r="E65" s="12" t="s">
        <v>31</v>
      </c>
      <c r="F65" s="12">
        <v>12</v>
      </c>
      <c r="G65" s="2" t="s">
        <v>253</v>
      </c>
      <c r="H65" s="12">
        <v>8</v>
      </c>
      <c r="I65" s="24">
        <v>66</v>
      </c>
      <c r="J65" s="12" t="s">
        <v>17</v>
      </c>
      <c r="K65" s="12" t="s">
        <v>17</v>
      </c>
      <c r="L65" s="12" t="s">
        <v>17</v>
      </c>
      <c r="M65" s="14" t="s">
        <v>264</v>
      </c>
      <c r="N65" s="14" t="s">
        <v>266</v>
      </c>
      <c r="O65" s="35" t="s">
        <v>17</v>
      </c>
      <c r="P65" s="15" t="s">
        <v>17</v>
      </c>
      <c r="Q65" s="15" t="s">
        <v>17</v>
      </c>
      <c r="R65" s="15" t="s">
        <v>17</v>
      </c>
      <c r="S65" s="2" t="s">
        <v>17</v>
      </c>
      <c r="T65" s="15" t="s">
        <v>17</v>
      </c>
      <c r="U65" s="15" t="s">
        <v>17</v>
      </c>
      <c r="V65" s="15" t="s">
        <v>17</v>
      </c>
      <c r="W65" s="15" t="s">
        <v>17</v>
      </c>
      <c r="X65" s="15" t="s">
        <v>17</v>
      </c>
      <c r="Y65" s="15" t="s">
        <v>17</v>
      </c>
      <c r="Z65" s="15" t="s">
        <v>17</v>
      </c>
      <c r="AA65" s="15" t="s">
        <v>17</v>
      </c>
      <c r="AB65" s="15" t="s">
        <v>17</v>
      </c>
      <c r="AC65" s="15" t="s">
        <v>17</v>
      </c>
      <c r="AD65" s="15" t="s">
        <v>17</v>
      </c>
      <c r="AE65" s="15" t="s">
        <v>17</v>
      </c>
      <c r="AF65" s="15" t="s">
        <v>17</v>
      </c>
      <c r="AG65" s="15" t="s">
        <v>17</v>
      </c>
      <c r="AH65" s="15"/>
      <c r="AI65" s="11" t="s">
        <v>166</v>
      </c>
      <c r="AJ65" s="16"/>
      <c r="AK65" s="16"/>
      <c r="AL65" s="11" t="s">
        <v>426</v>
      </c>
      <c r="AM65" s="16">
        <v>4</v>
      </c>
      <c r="AN65" s="16">
        <v>16</v>
      </c>
      <c r="AO65" s="2" t="s">
        <v>266</v>
      </c>
      <c r="AP65" s="2" t="s">
        <v>17</v>
      </c>
      <c r="AQ65" t="s">
        <v>17</v>
      </c>
      <c r="AR65" s="11" t="s">
        <v>17</v>
      </c>
      <c r="AS65" s="2" t="s">
        <v>17</v>
      </c>
      <c r="AT65" s="2" t="s">
        <v>17</v>
      </c>
      <c r="AU65" s="12" t="s">
        <v>167</v>
      </c>
      <c r="AV65" s="12"/>
      <c r="AW65" s="12"/>
      <c r="AX65" s="12" t="s">
        <v>427</v>
      </c>
    </row>
    <row r="66" spans="1:50" ht="58" x14ac:dyDescent="0.35">
      <c r="A66" s="2" t="s">
        <v>162</v>
      </c>
      <c r="B66" s="22" t="s">
        <v>168</v>
      </c>
      <c r="C66" s="20" t="s">
        <v>169</v>
      </c>
      <c r="D66" s="11" t="s">
        <v>165</v>
      </c>
      <c r="E66" s="12" t="s">
        <v>16</v>
      </c>
      <c r="F66" s="12">
        <v>114</v>
      </c>
      <c r="G66" s="2" t="s">
        <v>253</v>
      </c>
      <c r="H66" s="12">
        <v>23</v>
      </c>
      <c r="I66" s="24">
        <v>20.2</v>
      </c>
      <c r="J66" s="12" t="s">
        <v>17</v>
      </c>
      <c r="K66" s="12" t="s">
        <v>17</v>
      </c>
      <c r="L66" s="12" t="s">
        <v>17</v>
      </c>
      <c r="M66" s="14" t="s">
        <v>264</v>
      </c>
      <c r="N66" s="14" t="s">
        <v>266</v>
      </c>
      <c r="O66" s="35" t="s">
        <v>17</v>
      </c>
      <c r="P66" s="15" t="s">
        <v>17</v>
      </c>
      <c r="Q66" s="15" t="s">
        <v>17</v>
      </c>
      <c r="R66" s="15" t="s">
        <v>17</v>
      </c>
      <c r="S66" s="2" t="s">
        <v>17</v>
      </c>
      <c r="T66" s="15" t="s">
        <v>17</v>
      </c>
      <c r="U66" s="15" t="s">
        <v>17</v>
      </c>
      <c r="V66" s="15" t="s">
        <v>17</v>
      </c>
      <c r="W66" s="15" t="s">
        <v>17</v>
      </c>
      <c r="X66" s="15" t="s">
        <v>17</v>
      </c>
      <c r="Y66" s="15" t="s">
        <v>17</v>
      </c>
      <c r="Z66" s="15" t="s">
        <v>17</v>
      </c>
      <c r="AA66" s="15" t="s">
        <v>17</v>
      </c>
      <c r="AB66" s="15" t="s">
        <v>17</v>
      </c>
      <c r="AC66" s="15" t="s">
        <v>17</v>
      </c>
      <c r="AD66" s="15" t="s">
        <v>17</v>
      </c>
      <c r="AE66" s="15" t="s">
        <v>17</v>
      </c>
      <c r="AF66" s="15" t="s">
        <v>17</v>
      </c>
      <c r="AG66" s="15" t="s">
        <v>17</v>
      </c>
      <c r="AH66" s="15"/>
      <c r="AI66" s="11" t="s">
        <v>170</v>
      </c>
      <c r="AJ66" s="16">
        <v>0</v>
      </c>
      <c r="AK66" s="16">
        <v>30</v>
      </c>
      <c r="AL66" s="11" t="s">
        <v>17</v>
      </c>
      <c r="AM66" s="41" t="s">
        <v>17</v>
      </c>
      <c r="AN66" s="41" t="s">
        <v>17</v>
      </c>
      <c r="AO66" s="2" t="s">
        <v>259</v>
      </c>
      <c r="AP66" s="2" t="s">
        <v>437</v>
      </c>
      <c r="AQ66" s="39">
        <v>9</v>
      </c>
      <c r="AS66" s="2">
        <v>14</v>
      </c>
      <c r="AT66" s="2" t="s">
        <v>259</v>
      </c>
      <c r="AU66" s="12" t="s">
        <v>171</v>
      </c>
      <c r="AV66" s="12"/>
      <c r="AW66" s="12"/>
      <c r="AX66" s="12"/>
    </row>
    <row r="67" spans="1:50" ht="29" x14ac:dyDescent="0.35">
      <c r="A67" s="2" t="s">
        <v>162</v>
      </c>
      <c r="B67" s="22" t="s">
        <v>172</v>
      </c>
      <c r="C67" s="20" t="s">
        <v>173</v>
      </c>
      <c r="D67" s="11" t="s">
        <v>165</v>
      </c>
      <c r="E67" s="12" t="s">
        <v>16</v>
      </c>
      <c r="F67" s="12">
        <v>7</v>
      </c>
      <c r="G67" s="2" t="s">
        <v>253</v>
      </c>
      <c r="H67" s="12">
        <v>4</v>
      </c>
      <c r="I67" s="24">
        <v>57</v>
      </c>
      <c r="J67" s="12" t="s">
        <v>17</v>
      </c>
      <c r="K67" s="12" t="s">
        <v>17</v>
      </c>
      <c r="L67" s="12" t="s">
        <v>17</v>
      </c>
      <c r="M67" s="14" t="s">
        <v>264</v>
      </c>
      <c r="N67" s="14" t="s">
        <v>266</v>
      </c>
      <c r="O67" s="35" t="s">
        <v>17</v>
      </c>
      <c r="P67" s="15" t="s">
        <v>17</v>
      </c>
      <c r="Q67" s="15" t="s">
        <v>17</v>
      </c>
      <c r="R67" s="15" t="s">
        <v>17</v>
      </c>
      <c r="S67" s="2" t="s">
        <v>17</v>
      </c>
      <c r="T67" s="15" t="s">
        <v>17</v>
      </c>
      <c r="U67" s="15" t="s">
        <v>17</v>
      </c>
      <c r="V67" s="15" t="s">
        <v>17</v>
      </c>
      <c r="W67" s="15" t="s">
        <v>17</v>
      </c>
      <c r="X67" s="15" t="s">
        <v>17</v>
      </c>
      <c r="Y67" s="15" t="s">
        <v>17</v>
      </c>
      <c r="Z67" s="15" t="s">
        <v>17</v>
      </c>
      <c r="AA67" s="15" t="s">
        <v>17</v>
      </c>
      <c r="AB67" s="15" t="s">
        <v>17</v>
      </c>
      <c r="AC67" s="15" t="s">
        <v>17</v>
      </c>
      <c r="AD67" s="15" t="s">
        <v>17</v>
      </c>
      <c r="AE67" s="15" t="s">
        <v>17</v>
      </c>
      <c r="AF67" s="15" t="s">
        <v>17</v>
      </c>
      <c r="AG67" s="15" t="s">
        <v>17</v>
      </c>
      <c r="AH67" s="15"/>
      <c r="AI67" s="11" t="s">
        <v>174</v>
      </c>
      <c r="AJ67" s="16">
        <v>2</v>
      </c>
      <c r="AK67" s="16">
        <v>76</v>
      </c>
      <c r="AL67" s="11" t="s">
        <v>175</v>
      </c>
      <c r="AM67" s="16">
        <v>3</v>
      </c>
      <c r="AN67" s="16">
        <v>23</v>
      </c>
      <c r="AO67" s="11" t="s">
        <v>266</v>
      </c>
      <c r="AP67" s="11" t="s">
        <v>17</v>
      </c>
      <c r="AQ67" s="11" t="s">
        <v>17</v>
      </c>
      <c r="AR67" s="11" t="s">
        <v>17</v>
      </c>
      <c r="AS67" s="11" t="s">
        <v>17</v>
      </c>
      <c r="AT67" s="2" t="s">
        <v>17</v>
      </c>
      <c r="AU67" s="12" t="s">
        <v>176</v>
      </c>
      <c r="AV67" s="12"/>
      <c r="AW67" s="12"/>
      <c r="AX67" s="12"/>
    </row>
    <row r="68" spans="1:50" x14ac:dyDescent="0.35">
      <c r="A68" s="2" t="s">
        <v>162</v>
      </c>
      <c r="B68" s="22" t="s">
        <v>177</v>
      </c>
      <c r="C68" s="20" t="s">
        <v>178</v>
      </c>
      <c r="D68" s="11" t="s">
        <v>165</v>
      </c>
      <c r="E68" s="12" t="s">
        <v>16</v>
      </c>
      <c r="F68" s="12">
        <v>10</v>
      </c>
      <c r="G68" s="2" t="s">
        <v>253</v>
      </c>
      <c r="H68" s="12">
        <v>9</v>
      </c>
      <c r="I68" s="24">
        <v>90</v>
      </c>
      <c r="J68" s="12" t="s">
        <v>17</v>
      </c>
      <c r="K68" s="12" t="s">
        <v>17</v>
      </c>
      <c r="L68" s="12" t="s">
        <v>17</v>
      </c>
      <c r="M68" s="11" t="s">
        <v>264</v>
      </c>
      <c r="N68" s="14" t="s">
        <v>266</v>
      </c>
      <c r="O68" s="35" t="s">
        <v>17</v>
      </c>
      <c r="P68" s="15" t="s">
        <v>17</v>
      </c>
      <c r="Q68" s="15" t="s">
        <v>17</v>
      </c>
      <c r="R68" s="15" t="s">
        <v>17</v>
      </c>
      <c r="S68" s="2" t="s">
        <v>17</v>
      </c>
      <c r="T68" s="15" t="s">
        <v>17</v>
      </c>
      <c r="U68" s="15" t="s">
        <v>17</v>
      </c>
      <c r="V68" s="15" t="s">
        <v>17</v>
      </c>
      <c r="W68" s="15" t="s">
        <v>17</v>
      </c>
      <c r="X68" s="15" t="s">
        <v>17</v>
      </c>
      <c r="Y68" s="15" t="s">
        <v>17</v>
      </c>
      <c r="Z68" s="15" t="s">
        <v>17</v>
      </c>
      <c r="AA68" s="15" t="s">
        <v>17</v>
      </c>
      <c r="AB68" s="15" t="s">
        <v>17</v>
      </c>
      <c r="AC68" s="15" t="s">
        <v>17</v>
      </c>
      <c r="AD68" s="15" t="s">
        <v>17</v>
      </c>
      <c r="AE68" s="15" t="s">
        <v>17</v>
      </c>
      <c r="AF68" s="15" t="s">
        <v>17</v>
      </c>
      <c r="AG68" s="15" t="s">
        <v>17</v>
      </c>
      <c r="AH68" s="15"/>
      <c r="AI68" s="11" t="s">
        <v>17</v>
      </c>
      <c r="AJ68" s="16">
        <v>0</v>
      </c>
      <c r="AK68" s="16">
        <v>14</v>
      </c>
      <c r="AL68" s="11" t="s">
        <v>17</v>
      </c>
      <c r="AM68" s="41">
        <v>0</v>
      </c>
      <c r="AN68" s="41">
        <v>8</v>
      </c>
      <c r="AO68" s="2" t="s">
        <v>259</v>
      </c>
      <c r="AP68" s="31" t="s">
        <v>429</v>
      </c>
      <c r="AQ68" s="39">
        <v>8</v>
      </c>
      <c r="AS68" s="2">
        <v>14</v>
      </c>
      <c r="AT68" s="2" t="s">
        <v>259</v>
      </c>
      <c r="AU68" s="12" t="s">
        <v>179</v>
      </c>
      <c r="AV68" s="12"/>
      <c r="AW68" s="12"/>
      <c r="AX68" s="12" t="s">
        <v>428</v>
      </c>
    </row>
    <row r="69" spans="1:50" x14ac:dyDescent="0.35">
      <c r="A69" s="2" t="s">
        <v>162</v>
      </c>
      <c r="B69" s="22" t="s">
        <v>177</v>
      </c>
      <c r="C69" s="20" t="s">
        <v>178</v>
      </c>
      <c r="D69" s="11" t="s">
        <v>165</v>
      </c>
      <c r="E69" s="12" t="s">
        <v>16</v>
      </c>
      <c r="F69" s="12">
        <v>10</v>
      </c>
      <c r="G69" s="2" t="s">
        <v>253</v>
      </c>
      <c r="H69" s="12">
        <v>1</v>
      </c>
      <c r="I69" s="24">
        <v>10</v>
      </c>
      <c r="J69" s="12" t="s">
        <v>17</v>
      </c>
      <c r="K69" s="12" t="s">
        <v>17</v>
      </c>
      <c r="L69" s="12" t="s">
        <v>17</v>
      </c>
      <c r="M69" s="11" t="s">
        <v>264</v>
      </c>
      <c r="N69" s="14" t="s">
        <v>266</v>
      </c>
      <c r="O69" s="35" t="s">
        <v>17</v>
      </c>
      <c r="P69" s="15" t="s">
        <v>17</v>
      </c>
      <c r="Q69" s="15" t="s">
        <v>17</v>
      </c>
      <c r="R69" s="15" t="s">
        <v>17</v>
      </c>
      <c r="S69" s="2" t="s">
        <v>17</v>
      </c>
      <c r="T69" s="15" t="s">
        <v>17</v>
      </c>
      <c r="U69" s="15" t="s">
        <v>17</v>
      </c>
      <c r="V69" s="15" t="s">
        <v>17</v>
      </c>
      <c r="W69" s="15" t="s">
        <v>17</v>
      </c>
      <c r="X69" s="15" t="s">
        <v>17</v>
      </c>
      <c r="Y69" s="15" t="s">
        <v>17</v>
      </c>
      <c r="Z69" s="15" t="s">
        <v>17</v>
      </c>
      <c r="AA69" s="15" t="s">
        <v>17</v>
      </c>
      <c r="AB69" s="15" t="s">
        <v>17</v>
      </c>
      <c r="AC69" s="15" t="s">
        <v>17</v>
      </c>
      <c r="AD69" s="15" t="s">
        <v>17</v>
      </c>
      <c r="AE69" s="15" t="s">
        <v>17</v>
      </c>
      <c r="AF69" s="15" t="s">
        <v>17</v>
      </c>
      <c r="AG69" s="15" t="s">
        <v>17</v>
      </c>
      <c r="AH69" s="15"/>
      <c r="AI69" s="11" t="s">
        <v>17</v>
      </c>
      <c r="AJ69" s="16">
        <v>0</v>
      </c>
      <c r="AK69" s="16">
        <v>14</v>
      </c>
      <c r="AL69" s="11" t="s">
        <v>17</v>
      </c>
      <c r="AM69" s="41">
        <v>0</v>
      </c>
      <c r="AN69" s="41">
        <v>8</v>
      </c>
      <c r="AO69" s="2" t="s">
        <v>259</v>
      </c>
      <c r="AP69" s="31" t="s">
        <v>429</v>
      </c>
      <c r="AQ69" s="39">
        <v>8</v>
      </c>
      <c r="AS69" s="2">
        <v>14</v>
      </c>
      <c r="AT69" s="2" t="s">
        <v>259</v>
      </c>
      <c r="AU69" s="12" t="s">
        <v>179</v>
      </c>
      <c r="AV69" s="12"/>
      <c r="AW69" s="12"/>
      <c r="AX69" s="12" t="s">
        <v>428</v>
      </c>
    </row>
    <row r="70" spans="1:50" ht="29" x14ac:dyDescent="0.35">
      <c r="A70" s="2" t="s">
        <v>162</v>
      </c>
      <c r="B70" s="9" t="s">
        <v>180</v>
      </c>
      <c r="C70" s="10" t="s">
        <v>181</v>
      </c>
      <c r="D70" s="11" t="s">
        <v>165</v>
      </c>
      <c r="E70" s="12" t="s">
        <v>16</v>
      </c>
      <c r="F70" s="12">
        <v>76</v>
      </c>
      <c r="G70" s="2" t="s">
        <v>253</v>
      </c>
      <c r="H70" s="12">
        <v>42</v>
      </c>
      <c r="I70" s="24">
        <v>55</v>
      </c>
      <c r="J70" s="12" t="s">
        <v>17</v>
      </c>
      <c r="K70" s="12" t="s">
        <v>17</v>
      </c>
      <c r="L70" s="12" t="s">
        <v>17</v>
      </c>
      <c r="M70" s="11" t="s">
        <v>264</v>
      </c>
      <c r="N70" s="11" t="s">
        <v>259</v>
      </c>
      <c r="O70" s="36"/>
      <c r="P70" s="15" t="s">
        <v>295</v>
      </c>
      <c r="Q70" s="2">
        <v>42</v>
      </c>
      <c r="R70" s="2" t="s">
        <v>266</v>
      </c>
      <c r="S70" s="2" t="s">
        <v>266</v>
      </c>
      <c r="T70" s="15" t="s">
        <v>17</v>
      </c>
      <c r="U70" s="4" t="s">
        <v>17</v>
      </c>
      <c r="V70" s="7">
        <f>10^4.77</f>
        <v>58884.365535558936</v>
      </c>
      <c r="W70" s="7">
        <f>10^5.32</f>
        <v>208929.61308540447</v>
      </c>
      <c r="X70" s="12" t="s">
        <v>314</v>
      </c>
      <c r="Y70" s="7">
        <f>10^4.77</f>
        <v>58884.365535558936</v>
      </c>
      <c r="Z70" s="7">
        <f>10^5.32</f>
        <v>208929.61308540447</v>
      </c>
      <c r="AA70" t="s">
        <v>312</v>
      </c>
      <c r="AB70" s="2" t="s">
        <v>314</v>
      </c>
      <c r="AC70" s="2" t="s">
        <v>17</v>
      </c>
      <c r="AE70" s="2" t="s">
        <v>17</v>
      </c>
      <c r="AF70" s="2" t="s">
        <v>259</v>
      </c>
      <c r="AG70" s="15" t="s">
        <v>297</v>
      </c>
      <c r="AH70" s="15" t="s">
        <v>463</v>
      </c>
      <c r="AI70" s="11" t="s">
        <v>315</v>
      </c>
      <c r="AJ70" s="16">
        <v>1</v>
      </c>
      <c r="AK70" s="16">
        <v>21</v>
      </c>
      <c r="AL70" s="11" t="s">
        <v>182</v>
      </c>
      <c r="AM70" s="16">
        <v>1</v>
      </c>
      <c r="AN70" s="16">
        <v>21</v>
      </c>
      <c r="AO70" s="2" t="s">
        <v>266</v>
      </c>
      <c r="AP70" s="2" t="s">
        <v>17</v>
      </c>
      <c r="AQ70" s="2" t="s">
        <v>17</v>
      </c>
      <c r="AR70" s="11">
        <v>21</v>
      </c>
      <c r="AS70" s="2">
        <v>42</v>
      </c>
      <c r="AT70" s="2" t="s">
        <v>259</v>
      </c>
      <c r="AU70" s="12" t="s">
        <v>183</v>
      </c>
      <c r="AV70" s="12"/>
      <c r="AW70" s="12"/>
      <c r="AX70" s="12" t="s">
        <v>316</v>
      </c>
    </row>
    <row r="71" spans="1:50" ht="29" x14ac:dyDescent="0.35">
      <c r="A71" s="2" t="s">
        <v>162</v>
      </c>
      <c r="B71" s="19" t="s">
        <v>184</v>
      </c>
      <c r="C71" s="20" t="s">
        <v>185</v>
      </c>
      <c r="D71" s="11" t="s">
        <v>165</v>
      </c>
      <c r="E71" s="12" t="s">
        <v>16</v>
      </c>
      <c r="F71" s="12">
        <v>36</v>
      </c>
      <c r="G71" s="2" t="s">
        <v>253</v>
      </c>
      <c r="H71" s="12">
        <v>11</v>
      </c>
      <c r="I71" s="24">
        <v>50</v>
      </c>
      <c r="J71" s="12" t="s">
        <v>17</v>
      </c>
      <c r="K71" s="12" t="s">
        <v>17</v>
      </c>
      <c r="L71" s="12" t="s">
        <v>17</v>
      </c>
      <c r="M71" s="14" t="s">
        <v>264</v>
      </c>
      <c r="N71" s="14" t="s">
        <v>266</v>
      </c>
      <c r="O71" s="35" t="s">
        <v>17</v>
      </c>
      <c r="P71" s="15" t="s">
        <v>17</v>
      </c>
      <c r="Q71" s="15" t="s">
        <v>17</v>
      </c>
      <c r="R71" s="15" t="s">
        <v>17</v>
      </c>
      <c r="S71" s="2" t="s">
        <v>17</v>
      </c>
      <c r="T71" s="15" t="s">
        <v>17</v>
      </c>
      <c r="U71" s="15" t="s">
        <v>17</v>
      </c>
      <c r="V71" s="15" t="s">
        <v>17</v>
      </c>
      <c r="W71" s="15" t="s">
        <v>17</v>
      </c>
      <c r="X71" s="15" t="s">
        <v>17</v>
      </c>
      <c r="Y71" s="15" t="s">
        <v>17</v>
      </c>
      <c r="Z71" s="15" t="s">
        <v>17</v>
      </c>
      <c r="AA71" s="15" t="s">
        <v>17</v>
      </c>
      <c r="AB71" s="15" t="s">
        <v>17</v>
      </c>
      <c r="AC71" s="15" t="s">
        <v>17</v>
      </c>
      <c r="AD71" s="15" t="s">
        <v>17</v>
      </c>
      <c r="AE71" s="15" t="s">
        <v>17</v>
      </c>
      <c r="AF71" s="15" t="s">
        <v>17</v>
      </c>
      <c r="AG71" s="15" t="s">
        <v>17</v>
      </c>
      <c r="AH71" s="15"/>
      <c r="AI71" s="11" t="s">
        <v>186</v>
      </c>
      <c r="AJ71" s="16">
        <v>3</v>
      </c>
      <c r="AK71" s="16">
        <v>35</v>
      </c>
      <c r="AL71" s="11" t="s">
        <v>187</v>
      </c>
      <c r="AM71" s="16">
        <v>9</v>
      </c>
      <c r="AN71" s="16">
        <v>15</v>
      </c>
      <c r="AO71" s="2" t="s">
        <v>266</v>
      </c>
      <c r="AP71" s="11" t="s">
        <v>17</v>
      </c>
      <c r="AQ71" s="11" t="s">
        <v>17</v>
      </c>
      <c r="AR71" s="11" t="s">
        <v>17</v>
      </c>
      <c r="AS71" s="11" t="s">
        <v>17</v>
      </c>
      <c r="AT71" s="11" t="s">
        <v>17</v>
      </c>
      <c r="AU71" s="12" t="s">
        <v>189</v>
      </c>
      <c r="AV71" s="12"/>
      <c r="AW71" s="12"/>
      <c r="AX71" s="12" t="s">
        <v>308</v>
      </c>
    </row>
    <row r="72" spans="1:50" ht="29" x14ac:dyDescent="0.35">
      <c r="A72" s="2" t="s">
        <v>162</v>
      </c>
      <c r="B72" s="19" t="s">
        <v>184</v>
      </c>
      <c r="C72" s="20" t="s">
        <v>185</v>
      </c>
      <c r="D72" s="11" t="s">
        <v>165</v>
      </c>
      <c r="E72" s="12" t="s">
        <v>31</v>
      </c>
      <c r="F72" s="12">
        <v>34</v>
      </c>
      <c r="G72" s="2" t="s">
        <v>253</v>
      </c>
      <c r="H72" s="12">
        <v>17</v>
      </c>
      <c r="I72" s="24">
        <v>30.6</v>
      </c>
      <c r="J72" s="12" t="s">
        <v>17</v>
      </c>
      <c r="K72" s="12" t="s">
        <v>17</v>
      </c>
      <c r="L72" s="12" t="s">
        <v>17</v>
      </c>
      <c r="M72" s="14" t="s">
        <v>264</v>
      </c>
      <c r="N72" s="14" t="s">
        <v>266</v>
      </c>
      <c r="O72" s="35" t="s">
        <v>17</v>
      </c>
      <c r="P72" s="15" t="s">
        <v>17</v>
      </c>
      <c r="Q72" s="15" t="s">
        <v>17</v>
      </c>
      <c r="R72" s="15" t="s">
        <v>17</v>
      </c>
      <c r="S72" s="2" t="s">
        <v>17</v>
      </c>
      <c r="T72" s="15" t="s">
        <v>17</v>
      </c>
      <c r="U72" s="15" t="s">
        <v>17</v>
      </c>
      <c r="V72" s="15" t="s">
        <v>17</v>
      </c>
      <c r="W72" s="15" t="s">
        <v>17</v>
      </c>
      <c r="X72" s="15" t="s">
        <v>17</v>
      </c>
      <c r="Y72" s="15" t="s">
        <v>17</v>
      </c>
      <c r="Z72" s="15" t="s">
        <v>17</v>
      </c>
      <c r="AA72" s="15" t="s">
        <v>17</v>
      </c>
      <c r="AB72" s="15" t="s">
        <v>17</v>
      </c>
      <c r="AC72" s="15" t="s">
        <v>17</v>
      </c>
      <c r="AD72" s="15" t="s">
        <v>17</v>
      </c>
      <c r="AE72" s="15" t="s">
        <v>17</v>
      </c>
      <c r="AF72" s="15" t="s">
        <v>17</v>
      </c>
      <c r="AG72" s="15" t="s">
        <v>17</v>
      </c>
      <c r="AH72" s="15"/>
      <c r="AI72" s="11" t="s">
        <v>186</v>
      </c>
      <c r="AJ72" s="16">
        <v>3</v>
      </c>
      <c r="AK72" s="16">
        <v>35</v>
      </c>
      <c r="AL72" s="11" t="s">
        <v>190</v>
      </c>
      <c r="AM72" s="16">
        <v>3</v>
      </c>
      <c r="AN72" s="16">
        <v>17</v>
      </c>
      <c r="AO72" s="2" t="s">
        <v>266</v>
      </c>
      <c r="AP72" s="11" t="s">
        <v>17</v>
      </c>
      <c r="AQ72" s="11" t="s">
        <v>17</v>
      </c>
      <c r="AR72" s="11" t="s">
        <v>17</v>
      </c>
      <c r="AS72" s="11" t="s">
        <v>17</v>
      </c>
      <c r="AT72" s="11" t="s">
        <v>17</v>
      </c>
      <c r="AU72" s="12" t="s">
        <v>189</v>
      </c>
      <c r="AV72" s="12"/>
      <c r="AW72" s="12"/>
      <c r="AX72" s="12" t="s">
        <v>309</v>
      </c>
    </row>
    <row r="73" spans="1:50" ht="14.5" customHeight="1" x14ac:dyDescent="0.35">
      <c r="A73" s="2" t="s">
        <v>162</v>
      </c>
      <c r="B73" s="19" t="s">
        <v>191</v>
      </c>
      <c r="C73" s="20" t="s">
        <v>192</v>
      </c>
      <c r="D73" s="11" t="s">
        <v>165</v>
      </c>
      <c r="E73" s="12" t="s">
        <v>16</v>
      </c>
      <c r="F73" s="12" t="s">
        <v>17</v>
      </c>
      <c r="G73" s="2" t="s">
        <v>253</v>
      </c>
      <c r="H73" s="12" t="s">
        <v>17</v>
      </c>
      <c r="I73" t="s">
        <v>17</v>
      </c>
      <c r="J73" s="12">
        <v>13</v>
      </c>
      <c r="K73" s="12">
        <v>6</v>
      </c>
      <c r="L73" s="24">
        <v>46</v>
      </c>
      <c r="M73" s="14" t="s">
        <v>264</v>
      </c>
      <c r="N73" s="14" t="s">
        <v>266</v>
      </c>
      <c r="O73" s="35" t="s">
        <v>17</v>
      </c>
      <c r="P73" s="15" t="s">
        <v>17</v>
      </c>
      <c r="Q73" s="15" t="s">
        <v>17</v>
      </c>
      <c r="R73" s="15" t="s">
        <v>17</v>
      </c>
      <c r="S73" s="2" t="s">
        <v>17</v>
      </c>
      <c r="T73" s="15" t="s">
        <v>17</v>
      </c>
      <c r="U73" s="15" t="s">
        <v>17</v>
      </c>
      <c r="V73" s="15" t="s">
        <v>17</v>
      </c>
      <c r="W73" s="15" t="s">
        <v>17</v>
      </c>
      <c r="X73" s="15" t="s">
        <v>17</v>
      </c>
      <c r="Y73" s="15" t="s">
        <v>17</v>
      </c>
      <c r="Z73" s="15" t="s">
        <v>17</v>
      </c>
      <c r="AA73" s="15" t="s">
        <v>17</v>
      </c>
      <c r="AB73" s="15" t="s">
        <v>17</v>
      </c>
      <c r="AC73" s="15" t="s">
        <v>17</v>
      </c>
      <c r="AD73" s="15" t="s">
        <v>17</v>
      </c>
      <c r="AE73" s="15" t="s">
        <v>17</v>
      </c>
      <c r="AF73" s="15" t="s">
        <v>17</v>
      </c>
      <c r="AG73" s="15" t="s">
        <v>17</v>
      </c>
      <c r="AH73" s="15"/>
      <c r="AI73" s="11" t="s">
        <v>17</v>
      </c>
      <c r="AJ73" s="16">
        <v>5</v>
      </c>
      <c r="AK73" s="16">
        <v>21</v>
      </c>
      <c r="AL73" s="11" t="s">
        <v>430</v>
      </c>
      <c r="AM73" s="16">
        <v>5</v>
      </c>
      <c r="AN73" s="16">
        <v>21</v>
      </c>
      <c r="AO73" s="2" t="s">
        <v>266</v>
      </c>
      <c r="AP73" s="2" t="s">
        <v>17</v>
      </c>
      <c r="AQ73" s="2" t="s">
        <v>17</v>
      </c>
      <c r="AR73" s="11" t="s">
        <v>188</v>
      </c>
      <c r="AS73" s="2">
        <v>17</v>
      </c>
      <c r="AT73" s="2" t="s">
        <v>259</v>
      </c>
      <c r="AU73" s="11" t="s">
        <v>193</v>
      </c>
      <c r="AV73" s="11"/>
      <c r="AW73" s="11"/>
      <c r="AX73" s="11" t="s">
        <v>194</v>
      </c>
    </row>
    <row r="74" spans="1:50" ht="58" x14ac:dyDescent="0.35">
      <c r="A74" s="2" t="s">
        <v>162</v>
      </c>
      <c r="B74" s="19" t="s">
        <v>191</v>
      </c>
      <c r="C74" s="20" t="s">
        <v>192</v>
      </c>
      <c r="D74" s="11" t="s">
        <v>165</v>
      </c>
      <c r="E74" s="12" t="s">
        <v>31</v>
      </c>
      <c r="F74" s="12" t="s">
        <v>17</v>
      </c>
      <c r="G74" s="2" t="s">
        <v>253</v>
      </c>
      <c r="H74" s="12" t="s">
        <v>17</v>
      </c>
      <c r="I74" s="3" t="s">
        <v>17</v>
      </c>
      <c r="J74" s="12">
        <v>5</v>
      </c>
      <c r="K74" s="12">
        <v>4</v>
      </c>
      <c r="L74" s="24">
        <v>80</v>
      </c>
      <c r="M74" s="14" t="s">
        <v>264</v>
      </c>
      <c r="N74" s="14" t="s">
        <v>266</v>
      </c>
      <c r="O74" s="35" t="s">
        <v>17</v>
      </c>
      <c r="P74" s="15" t="s">
        <v>17</v>
      </c>
      <c r="Q74" s="15" t="s">
        <v>17</v>
      </c>
      <c r="R74" s="15" t="s">
        <v>17</v>
      </c>
      <c r="S74" s="2" t="s">
        <v>17</v>
      </c>
      <c r="T74" s="15" t="s">
        <v>17</v>
      </c>
      <c r="U74" s="15" t="s">
        <v>17</v>
      </c>
      <c r="V74" s="15" t="s">
        <v>17</v>
      </c>
      <c r="W74" s="15" t="s">
        <v>17</v>
      </c>
      <c r="X74" s="15" t="s">
        <v>17</v>
      </c>
      <c r="Y74" s="15" t="s">
        <v>17</v>
      </c>
      <c r="Z74" s="15" t="s">
        <v>17</v>
      </c>
      <c r="AA74" s="15" t="s">
        <v>17</v>
      </c>
      <c r="AB74" s="15" t="s">
        <v>17</v>
      </c>
      <c r="AC74" s="15" t="s">
        <v>17</v>
      </c>
      <c r="AD74" s="15" t="s">
        <v>17</v>
      </c>
      <c r="AE74" s="15" t="s">
        <v>17</v>
      </c>
      <c r="AF74" s="15" t="s">
        <v>17</v>
      </c>
      <c r="AG74" s="15" t="s">
        <v>17</v>
      </c>
      <c r="AH74" s="15"/>
      <c r="AI74" s="11" t="s">
        <v>17</v>
      </c>
      <c r="AJ74" s="16">
        <v>5</v>
      </c>
      <c r="AK74" s="16">
        <v>21</v>
      </c>
      <c r="AL74" s="11" t="s">
        <v>431</v>
      </c>
      <c r="AM74" s="16">
        <v>5</v>
      </c>
      <c r="AN74" s="16">
        <v>16</v>
      </c>
      <c r="AO74" s="2" t="s">
        <v>266</v>
      </c>
      <c r="AP74" s="2" t="s">
        <v>17</v>
      </c>
      <c r="AQ74" s="2" t="s">
        <v>17</v>
      </c>
      <c r="AR74" s="11" t="s">
        <v>17</v>
      </c>
      <c r="AS74" s="2">
        <v>12</v>
      </c>
      <c r="AT74" s="2" t="s">
        <v>259</v>
      </c>
      <c r="AU74" s="11" t="s">
        <v>193</v>
      </c>
      <c r="AV74" s="11"/>
      <c r="AW74" s="11"/>
      <c r="AX74" s="11" t="s">
        <v>194</v>
      </c>
    </row>
    <row r="75" spans="1:50" ht="29" x14ac:dyDescent="0.35">
      <c r="A75" s="2" t="s">
        <v>162</v>
      </c>
      <c r="B75" s="22" t="s">
        <v>195</v>
      </c>
      <c r="C75" s="20" t="s">
        <v>196</v>
      </c>
      <c r="D75" s="11" t="s">
        <v>165</v>
      </c>
      <c r="E75" s="12" t="s">
        <v>16</v>
      </c>
      <c r="F75" s="12">
        <v>19</v>
      </c>
      <c r="G75" s="2" t="s">
        <v>253</v>
      </c>
      <c r="H75" s="12">
        <v>7</v>
      </c>
      <c r="I75" s="24">
        <v>37</v>
      </c>
      <c r="J75" s="12" t="s">
        <v>17</v>
      </c>
      <c r="K75" s="12" t="s">
        <v>17</v>
      </c>
      <c r="L75" s="12" t="s">
        <v>17</v>
      </c>
      <c r="M75" s="14" t="s">
        <v>264</v>
      </c>
      <c r="N75" s="14" t="s">
        <v>266</v>
      </c>
      <c r="O75" s="35" t="s">
        <v>17</v>
      </c>
      <c r="P75" s="15" t="s">
        <v>17</v>
      </c>
      <c r="Q75" s="15" t="s">
        <v>17</v>
      </c>
      <c r="R75" s="15" t="s">
        <v>17</v>
      </c>
      <c r="S75" s="2" t="s">
        <v>17</v>
      </c>
      <c r="T75" s="15" t="s">
        <v>17</v>
      </c>
      <c r="U75" s="15" t="s">
        <v>17</v>
      </c>
      <c r="V75" s="15" t="s">
        <v>17</v>
      </c>
      <c r="W75" s="15" t="s">
        <v>17</v>
      </c>
      <c r="X75" s="15" t="s">
        <v>17</v>
      </c>
      <c r="Y75" s="15" t="s">
        <v>17</v>
      </c>
      <c r="Z75" s="15" t="s">
        <v>17</v>
      </c>
      <c r="AA75" s="15" t="s">
        <v>17</v>
      </c>
      <c r="AB75" s="15" t="s">
        <v>17</v>
      </c>
      <c r="AC75" s="15" t="s">
        <v>17</v>
      </c>
      <c r="AD75" s="15" t="s">
        <v>17</v>
      </c>
      <c r="AE75" s="15" t="s">
        <v>17</v>
      </c>
      <c r="AF75" s="15" t="s">
        <v>17</v>
      </c>
      <c r="AG75" s="15" t="s">
        <v>17</v>
      </c>
      <c r="AH75" s="15"/>
      <c r="AI75" s="11" t="s">
        <v>197</v>
      </c>
      <c r="AJ75" s="16" t="s">
        <v>17</v>
      </c>
      <c r="AK75" s="16" t="s">
        <v>17</v>
      </c>
      <c r="AL75" s="11" t="s">
        <v>198</v>
      </c>
      <c r="AM75" s="16" t="s">
        <v>17</v>
      </c>
      <c r="AN75" s="16" t="s">
        <v>17</v>
      </c>
      <c r="AO75" s="2" t="s">
        <v>266</v>
      </c>
      <c r="AP75" s="2" t="s">
        <v>17</v>
      </c>
      <c r="AQ75" s="2" t="s">
        <v>17</v>
      </c>
      <c r="AR75" s="11" t="s">
        <v>17</v>
      </c>
      <c r="AS75" s="2" t="s">
        <v>17</v>
      </c>
      <c r="AT75" s="2" t="s">
        <v>17</v>
      </c>
      <c r="AU75" s="12" t="s">
        <v>199</v>
      </c>
      <c r="AV75" s="12"/>
      <c r="AW75" s="12"/>
      <c r="AX75" s="12" t="s">
        <v>432</v>
      </c>
    </row>
    <row r="76" spans="1:50" ht="29" x14ac:dyDescent="0.35">
      <c r="A76" s="2" t="s">
        <v>162</v>
      </c>
      <c r="B76" s="22" t="s">
        <v>200</v>
      </c>
      <c r="C76" s="20" t="s">
        <v>201</v>
      </c>
      <c r="D76" s="11" t="s">
        <v>165</v>
      </c>
      <c r="E76" s="12" t="s">
        <v>16</v>
      </c>
      <c r="F76" s="12">
        <v>47</v>
      </c>
      <c r="G76" s="2" t="s">
        <v>288</v>
      </c>
      <c r="H76" s="12">
        <v>3</v>
      </c>
      <c r="I76" s="24">
        <v>6</v>
      </c>
      <c r="J76" s="12" t="s">
        <v>17</v>
      </c>
      <c r="K76" s="12" t="s">
        <v>17</v>
      </c>
      <c r="L76" s="12" t="s">
        <v>17</v>
      </c>
      <c r="M76" s="14" t="s">
        <v>264</v>
      </c>
      <c r="N76" s="14" t="s">
        <v>266</v>
      </c>
      <c r="O76" s="35" t="s">
        <v>17</v>
      </c>
      <c r="P76" s="15" t="s">
        <v>17</v>
      </c>
      <c r="Q76" s="15" t="s">
        <v>17</v>
      </c>
      <c r="R76" s="15" t="s">
        <v>17</v>
      </c>
      <c r="S76" s="2" t="s">
        <v>17</v>
      </c>
      <c r="T76" s="15" t="s">
        <v>17</v>
      </c>
      <c r="U76" s="15" t="s">
        <v>17</v>
      </c>
      <c r="V76" s="15" t="s">
        <v>17</v>
      </c>
      <c r="W76" s="15" t="s">
        <v>17</v>
      </c>
      <c r="X76" s="15" t="s">
        <v>17</v>
      </c>
      <c r="Y76" s="15" t="s">
        <v>17</v>
      </c>
      <c r="Z76" s="15" t="s">
        <v>17</v>
      </c>
      <c r="AA76" s="15" t="s">
        <v>17</v>
      </c>
      <c r="AB76" s="15" t="s">
        <v>17</v>
      </c>
      <c r="AC76" s="15" t="s">
        <v>17</v>
      </c>
      <c r="AD76" s="15" t="s">
        <v>17</v>
      </c>
      <c r="AE76" s="15" t="s">
        <v>17</v>
      </c>
      <c r="AF76" s="15" t="s">
        <v>17</v>
      </c>
      <c r="AG76" s="15" t="s">
        <v>17</v>
      </c>
      <c r="AH76" s="15"/>
      <c r="AI76" s="11" t="s">
        <v>202</v>
      </c>
      <c r="AJ76" s="16" t="s">
        <v>17</v>
      </c>
      <c r="AK76" s="16" t="s">
        <v>17</v>
      </c>
      <c r="AL76" s="11" t="s">
        <v>202</v>
      </c>
      <c r="AM76" s="16" t="s">
        <v>17</v>
      </c>
      <c r="AN76" s="16" t="s">
        <v>17</v>
      </c>
      <c r="AO76" s="2" t="s">
        <v>266</v>
      </c>
      <c r="AP76" s="2" t="s">
        <v>17</v>
      </c>
      <c r="AQ76" s="2" t="s">
        <v>17</v>
      </c>
      <c r="AR76" s="11" t="s">
        <v>17</v>
      </c>
      <c r="AS76" s="2" t="s">
        <v>17</v>
      </c>
      <c r="AT76" s="2" t="s">
        <v>17</v>
      </c>
      <c r="AU76" s="12" t="s">
        <v>203</v>
      </c>
      <c r="AV76" s="12"/>
      <c r="AW76" s="12"/>
      <c r="AX76" s="12"/>
    </row>
    <row r="77" spans="1:50" x14ac:dyDescent="0.35">
      <c r="A77" s="2" t="s">
        <v>162</v>
      </c>
      <c r="B77" s="18" t="s">
        <v>204</v>
      </c>
      <c r="C77" s="10" t="s">
        <v>205</v>
      </c>
      <c r="D77" s="11" t="s">
        <v>165</v>
      </c>
      <c r="E77" s="12" t="s">
        <v>16</v>
      </c>
      <c r="F77" s="12" t="s">
        <v>17</v>
      </c>
      <c r="G77" s="2" t="s">
        <v>17</v>
      </c>
      <c r="H77" s="12" t="s">
        <v>17</v>
      </c>
      <c r="I77" s="24" t="s">
        <v>17</v>
      </c>
      <c r="J77" s="12" t="s">
        <v>17</v>
      </c>
      <c r="K77" s="12">
        <v>48</v>
      </c>
      <c r="L77" s="12" t="s">
        <v>17</v>
      </c>
      <c r="M77" s="11" t="s">
        <v>264</v>
      </c>
      <c r="N77" s="14" t="s">
        <v>266</v>
      </c>
      <c r="O77" s="35" t="s">
        <v>17</v>
      </c>
      <c r="P77" s="15" t="s">
        <v>17</v>
      </c>
      <c r="Q77" s="15" t="s">
        <v>17</v>
      </c>
      <c r="R77" s="15" t="s">
        <v>17</v>
      </c>
      <c r="S77" s="2" t="s">
        <v>17</v>
      </c>
      <c r="T77" s="15" t="s">
        <v>17</v>
      </c>
      <c r="U77" s="15" t="s">
        <v>17</v>
      </c>
      <c r="V77" s="15" t="s">
        <v>17</v>
      </c>
      <c r="W77" s="15" t="s">
        <v>17</v>
      </c>
      <c r="X77" s="15" t="s">
        <v>17</v>
      </c>
      <c r="Y77" s="15" t="s">
        <v>17</v>
      </c>
      <c r="Z77" s="15" t="s">
        <v>17</v>
      </c>
      <c r="AA77" s="15" t="s">
        <v>17</v>
      </c>
      <c r="AB77" s="15" t="s">
        <v>17</v>
      </c>
      <c r="AC77" s="15" t="s">
        <v>17</v>
      </c>
      <c r="AD77" s="15" t="s">
        <v>17</v>
      </c>
      <c r="AE77" s="15" t="s">
        <v>17</v>
      </c>
      <c r="AF77" s="15" t="s">
        <v>17</v>
      </c>
      <c r="AG77" s="15" t="s">
        <v>17</v>
      </c>
      <c r="AH77" s="15"/>
      <c r="AI77" s="11" t="s">
        <v>17</v>
      </c>
      <c r="AJ77" s="16">
        <v>1</v>
      </c>
      <c r="AK77" s="16">
        <v>21</v>
      </c>
      <c r="AL77" s="11" t="s">
        <v>206</v>
      </c>
      <c r="AM77" s="16">
        <v>4</v>
      </c>
      <c r="AN77" s="16">
        <v>10</v>
      </c>
      <c r="AO77" s="2" t="s">
        <v>266</v>
      </c>
      <c r="AP77" s="2" t="s">
        <v>17</v>
      </c>
      <c r="AQ77" s="2" t="s">
        <v>17</v>
      </c>
      <c r="AR77" s="11" t="s">
        <v>17</v>
      </c>
      <c r="AS77" s="2" t="s">
        <v>17</v>
      </c>
      <c r="AT77" s="2" t="s">
        <v>17</v>
      </c>
      <c r="AU77" s="12" t="s">
        <v>17</v>
      </c>
      <c r="AV77" s="12" t="s">
        <v>259</v>
      </c>
      <c r="AW77" s="12">
        <v>5</v>
      </c>
      <c r="AX77" s="12" t="s">
        <v>434</v>
      </c>
    </row>
    <row r="78" spans="1:50" ht="29" x14ac:dyDescent="0.35">
      <c r="A78" s="2" t="s">
        <v>162</v>
      </c>
      <c r="B78" s="18" t="s">
        <v>208</v>
      </c>
      <c r="C78" s="10" t="s">
        <v>209</v>
      </c>
      <c r="D78" s="11" t="s">
        <v>165</v>
      </c>
      <c r="E78" s="12" t="s">
        <v>16</v>
      </c>
      <c r="F78" s="12">
        <v>41</v>
      </c>
      <c r="G78" s="2" t="s">
        <v>253</v>
      </c>
      <c r="H78" s="12">
        <v>9</v>
      </c>
      <c r="I78" s="24">
        <v>22</v>
      </c>
      <c r="J78" s="12" t="s">
        <v>17</v>
      </c>
      <c r="K78" s="12" t="s">
        <v>17</v>
      </c>
      <c r="L78" s="12" t="s">
        <v>17</v>
      </c>
      <c r="M78" s="14" t="s">
        <v>264</v>
      </c>
      <c r="N78" s="14" t="s">
        <v>266</v>
      </c>
      <c r="O78" s="35" t="s">
        <v>17</v>
      </c>
      <c r="P78" s="15" t="s">
        <v>17</v>
      </c>
      <c r="Q78" s="15" t="s">
        <v>17</v>
      </c>
      <c r="R78" s="15" t="s">
        <v>17</v>
      </c>
      <c r="S78" s="2" t="s">
        <v>17</v>
      </c>
      <c r="T78" s="15" t="s">
        <v>17</v>
      </c>
      <c r="U78" s="15" t="s">
        <v>17</v>
      </c>
      <c r="V78" s="15" t="s">
        <v>17</v>
      </c>
      <c r="W78" s="15" t="s">
        <v>17</v>
      </c>
      <c r="X78" s="15" t="s">
        <v>17</v>
      </c>
      <c r="Y78" s="15" t="s">
        <v>17</v>
      </c>
      <c r="Z78" s="15" t="s">
        <v>17</v>
      </c>
      <c r="AA78" s="15" t="s">
        <v>17</v>
      </c>
      <c r="AB78" s="15" t="s">
        <v>17</v>
      </c>
      <c r="AC78" s="15" t="s">
        <v>17</v>
      </c>
      <c r="AD78" s="15" t="s">
        <v>17</v>
      </c>
      <c r="AE78" s="15" t="s">
        <v>17</v>
      </c>
      <c r="AF78" s="15" t="s">
        <v>17</v>
      </c>
      <c r="AG78" s="15" t="s">
        <v>17</v>
      </c>
      <c r="AH78" s="15"/>
      <c r="AI78" s="11" t="s">
        <v>210</v>
      </c>
      <c r="AJ78" s="16" t="s">
        <v>17</v>
      </c>
      <c r="AK78" s="16" t="s">
        <v>17</v>
      </c>
      <c r="AL78" s="11" t="s">
        <v>211</v>
      </c>
      <c r="AM78" s="16" t="s">
        <v>17</v>
      </c>
      <c r="AN78" s="16" t="s">
        <v>17</v>
      </c>
      <c r="AO78" s="2" t="s">
        <v>266</v>
      </c>
      <c r="AP78" s="2" t="s">
        <v>17</v>
      </c>
      <c r="AQ78" s="2" t="s">
        <v>17</v>
      </c>
      <c r="AR78" s="11" t="s">
        <v>17</v>
      </c>
      <c r="AS78" s="2" t="s">
        <v>17</v>
      </c>
      <c r="AT78" s="2" t="s">
        <v>17</v>
      </c>
      <c r="AU78" s="12" t="s">
        <v>34</v>
      </c>
      <c r="AV78" s="12"/>
      <c r="AW78" s="12"/>
      <c r="AX78" s="12"/>
    </row>
    <row r="79" spans="1:50" x14ac:dyDescent="0.35">
      <c r="A79" s="2" t="s">
        <v>162</v>
      </c>
      <c r="B79" s="18" t="s">
        <v>212</v>
      </c>
      <c r="C79" s="10" t="s">
        <v>213</v>
      </c>
      <c r="D79" s="11" t="s">
        <v>165</v>
      </c>
      <c r="E79" s="12" t="s">
        <v>16</v>
      </c>
      <c r="F79" s="12">
        <v>5</v>
      </c>
      <c r="G79" s="2" t="s">
        <v>253</v>
      </c>
      <c r="H79" s="12">
        <v>4</v>
      </c>
      <c r="I79" s="24">
        <v>80</v>
      </c>
      <c r="J79" s="12" t="s">
        <v>17</v>
      </c>
      <c r="K79" s="12" t="s">
        <v>17</v>
      </c>
      <c r="L79" s="12" t="s">
        <v>17</v>
      </c>
      <c r="M79" s="14" t="s">
        <v>264</v>
      </c>
      <c r="N79" s="14" t="s">
        <v>266</v>
      </c>
      <c r="O79" s="35" t="s">
        <v>17</v>
      </c>
      <c r="P79" s="15" t="s">
        <v>17</v>
      </c>
      <c r="Q79" s="15" t="s">
        <v>17</v>
      </c>
      <c r="R79" s="15" t="s">
        <v>17</v>
      </c>
      <c r="S79" s="2" t="s">
        <v>17</v>
      </c>
      <c r="T79" s="15" t="s">
        <v>17</v>
      </c>
      <c r="U79" s="15" t="s">
        <v>17</v>
      </c>
      <c r="V79" s="15" t="s">
        <v>17</v>
      </c>
      <c r="W79" s="15" t="s">
        <v>17</v>
      </c>
      <c r="X79" s="15" t="s">
        <v>17</v>
      </c>
      <c r="Y79" s="15" t="s">
        <v>17</v>
      </c>
      <c r="Z79" s="15" t="s">
        <v>17</v>
      </c>
      <c r="AA79" s="15" t="s">
        <v>17</v>
      </c>
      <c r="AB79" s="15" t="s">
        <v>17</v>
      </c>
      <c r="AC79" s="15" t="s">
        <v>17</v>
      </c>
      <c r="AD79" s="15" t="s">
        <v>17</v>
      </c>
      <c r="AE79" s="15" t="s">
        <v>17</v>
      </c>
      <c r="AF79" s="15" t="s">
        <v>17</v>
      </c>
      <c r="AG79" s="15" t="s">
        <v>17</v>
      </c>
      <c r="AH79" s="15"/>
      <c r="AI79" s="11" t="s">
        <v>17</v>
      </c>
      <c r="AJ79" s="16">
        <v>5</v>
      </c>
      <c r="AK79" s="16">
        <v>24</v>
      </c>
      <c r="AL79" s="11" t="s">
        <v>17</v>
      </c>
      <c r="AM79" s="16">
        <v>5</v>
      </c>
      <c r="AN79" s="16">
        <v>17</v>
      </c>
      <c r="AO79" s="2" t="s">
        <v>266</v>
      </c>
      <c r="AP79" s="2" t="s">
        <v>17</v>
      </c>
      <c r="AQ79" s="2" t="s">
        <v>17</v>
      </c>
      <c r="AR79" s="11">
        <v>13</v>
      </c>
      <c r="AS79" s="2">
        <v>4</v>
      </c>
      <c r="AT79" s="2" t="s">
        <v>17</v>
      </c>
      <c r="AU79" s="12" t="s">
        <v>214</v>
      </c>
      <c r="AV79" s="12"/>
      <c r="AW79" s="12"/>
      <c r="AX79" s="12"/>
    </row>
    <row r="80" spans="1:50" ht="29" x14ac:dyDescent="0.35">
      <c r="A80" s="2" t="s">
        <v>162</v>
      </c>
      <c r="B80" s="18" t="s">
        <v>215</v>
      </c>
      <c r="C80" s="10" t="s">
        <v>216</v>
      </c>
      <c r="D80" s="11" t="s">
        <v>165</v>
      </c>
      <c r="E80" s="12" t="s">
        <v>16</v>
      </c>
      <c r="F80" s="12" t="s">
        <v>17</v>
      </c>
      <c r="G80" s="2" t="s">
        <v>17</v>
      </c>
      <c r="H80" s="12" t="s">
        <v>17</v>
      </c>
      <c r="I80" s="24">
        <v>6</v>
      </c>
      <c r="J80" s="12">
        <v>118</v>
      </c>
      <c r="K80" s="12">
        <v>5</v>
      </c>
      <c r="L80" s="12">
        <v>6</v>
      </c>
      <c r="M80" s="14" t="s">
        <v>264</v>
      </c>
      <c r="N80" s="14" t="s">
        <v>266</v>
      </c>
      <c r="O80" s="35" t="s">
        <v>17</v>
      </c>
      <c r="P80" s="15" t="s">
        <v>17</v>
      </c>
      <c r="Q80" s="15" t="s">
        <v>17</v>
      </c>
      <c r="R80" s="15" t="s">
        <v>17</v>
      </c>
      <c r="S80" s="2" t="s">
        <v>17</v>
      </c>
      <c r="T80" s="15" t="s">
        <v>17</v>
      </c>
      <c r="U80" s="15" t="s">
        <v>17</v>
      </c>
      <c r="V80" s="15" t="s">
        <v>17</v>
      </c>
      <c r="W80" s="15" t="s">
        <v>17</v>
      </c>
      <c r="X80" s="15" t="s">
        <v>17</v>
      </c>
      <c r="Y80" s="15" t="s">
        <v>17</v>
      </c>
      <c r="Z80" s="15" t="s">
        <v>17</v>
      </c>
      <c r="AA80" s="15" t="s">
        <v>17</v>
      </c>
      <c r="AB80" s="15" t="s">
        <v>17</v>
      </c>
      <c r="AC80" s="15" t="s">
        <v>17</v>
      </c>
      <c r="AD80" s="15" t="s">
        <v>17</v>
      </c>
      <c r="AE80" s="15" t="s">
        <v>17</v>
      </c>
      <c r="AF80" s="15" t="s">
        <v>17</v>
      </c>
      <c r="AG80" s="15" t="s">
        <v>17</v>
      </c>
      <c r="AH80" s="15"/>
      <c r="AI80" s="11" t="s">
        <v>17</v>
      </c>
      <c r="AJ80" s="11" t="s">
        <v>17</v>
      </c>
      <c r="AK80" s="11" t="s">
        <v>17</v>
      </c>
      <c r="AL80" s="11" t="s">
        <v>17</v>
      </c>
      <c r="AM80" s="11" t="s">
        <v>17</v>
      </c>
      <c r="AN80" s="11" t="s">
        <v>17</v>
      </c>
      <c r="AO80" s="2" t="s">
        <v>266</v>
      </c>
      <c r="AP80" s="11" t="s">
        <v>17</v>
      </c>
      <c r="AQ80" s="11" t="s">
        <v>17</v>
      </c>
      <c r="AR80" s="11" t="s">
        <v>17</v>
      </c>
      <c r="AS80" s="11" t="s">
        <v>17</v>
      </c>
      <c r="AT80" s="11" t="s">
        <v>17</v>
      </c>
      <c r="AU80" s="12" t="s">
        <v>217</v>
      </c>
      <c r="AV80" s="12"/>
      <c r="AW80" s="12"/>
      <c r="AX80" s="12"/>
    </row>
    <row r="81" spans="1:50" ht="25.5" customHeight="1" x14ac:dyDescent="0.35">
      <c r="A81" s="2" t="s">
        <v>162</v>
      </c>
      <c r="B81" s="18" t="s">
        <v>218</v>
      </c>
      <c r="C81" s="10" t="s">
        <v>219</v>
      </c>
      <c r="D81" s="11" t="s">
        <v>165</v>
      </c>
      <c r="E81" s="12" t="s">
        <v>16</v>
      </c>
      <c r="F81" s="12">
        <v>132</v>
      </c>
      <c r="G81" s="2" t="s">
        <v>253</v>
      </c>
      <c r="H81" s="12">
        <v>33</v>
      </c>
      <c r="I81" s="24">
        <f>100*H81/F81</f>
        <v>25</v>
      </c>
      <c r="J81" s="12" t="s">
        <v>17</v>
      </c>
      <c r="K81" s="12" t="s">
        <v>17</v>
      </c>
      <c r="L81" s="12" t="s">
        <v>17</v>
      </c>
      <c r="M81" s="14" t="s">
        <v>264</v>
      </c>
      <c r="N81" s="14" t="s">
        <v>266</v>
      </c>
      <c r="O81" s="35" t="s">
        <v>17</v>
      </c>
      <c r="P81" s="15" t="s">
        <v>17</v>
      </c>
      <c r="Q81" s="15" t="s">
        <v>17</v>
      </c>
      <c r="R81" s="15" t="s">
        <v>17</v>
      </c>
      <c r="S81" s="2" t="s">
        <v>17</v>
      </c>
      <c r="T81" s="15" t="s">
        <v>17</v>
      </c>
      <c r="U81" s="15" t="s">
        <v>17</v>
      </c>
      <c r="V81" s="15" t="s">
        <v>17</v>
      </c>
      <c r="W81" s="15" t="s">
        <v>17</v>
      </c>
      <c r="X81" s="15" t="s">
        <v>17</v>
      </c>
      <c r="Y81" s="15" t="s">
        <v>17</v>
      </c>
      <c r="Z81" s="15" t="s">
        <v>17</v>
      </c>
      <c r="AA81" s="15" t="s">
        <v>17</v>
      </c>
      <c r="AB81" s="15" t="s">
        <v>17</v>
      </c>
      <c r="AC81" s="15" t="s">
        <v>17</v>
      </c>
      <c r="AD81" s="15" t="s">
        <v>17</v>
      </c>
      <c r="AE81" s="15" t="s">
        <v>17</v>
      </c>
      <c r="AF81" s="15" t="s">
        <v>17</v>
      </c>
      <c r="AG81" s="15" t="s">
        <v>17</v>
      </c>
      <c r="AH81" s="15"/>
      <c r="AI81" s="11" t="s">
        <v>211</v>
      </c>
      <c r="AJ81" s="16" t="s">
        <v>17</v>
      </c>
      <c r="AK81" s="16" t="s">
        <v>17</v>
      </c>
      <c r="AL81" s="11" t="s">
        <v>211</v>
      </c>
      <c r="AM81" s="16" t="s">
        <v>17</v>
      </c>
      <c r="AN81" s="16" t="s">
        <v>17</v>
      </c>
      <c r="AO81" s="2" t="s">
        <v>266</v>
      </c>
      <c r="AP81" s="2" t="s">
        <v>17</v>
      </c>
      <c r="AQ81" s="2" t="s">
        <v>17</v>
      </c>
      <c r="AR81" s="11" t="s">
        <v>17</v>
      </c>
      <c r="AS81" s="2" t="s">
        <v>17</v>
      </c>
      <c r="AT81" s="2" t="s">
        <v>17</v>
      </c>
      <c r="AU81" s="12" t="s">
        <v>203</v>
      </c>
      <c r="AV81" s="12"/>
      <c r="AW81" s="12"/>
      <c r="AX81" s="12"/>
    </row>
    <row r="82" spans="1:50" x14ac:dyDescent="0.35">
      <c r="A82" s="2" t="s">
        <v>162</v>
      </c>
      <c r="B82" s="18" t="s">
        <v>220</v>
      </c>
      <c r="C82" s="10" t="s">
        <v>221</v>
      </c>
      <c r="D82" s="11" t="s">
        <v>165</v>
      </c>
      <c r="E82" s="12" t="s">
        <v>16</v>
      </c>
      <c r="F82" s="12">
        <v>28</v>
      </c>
      <c r="G82" s="2" t="s">
        <v>253</v>
      </c>
      <c r="H82" s="12">
        <v>23</v>
      </c>
      <c r="I82" s="24">
        <v>82</v>
      </c>
      <c r="J82" s="12" t="s">
        <v>17</v>
      </c>
      <c r="K82" s="12" t="s">
        <v>17</v>
      </c>
      <c r="L82" s="12" t="s">
        <v>17</v>
      </c>
      <c r="M82" s="14" t="s">
        <v>264</v>
      </c>
      <c r="N82" s="14" t="s">
        <v>266</v>
      </c>
      <c r="O82" s="35" t="s">
        <v>17</v>
      </c>
      <c r="P82" s="15" t="s">
        <v>17</v>
      </c>
      <c r="Q82" s="15" t="s">
        <v>17</v>
      </c>
      <c r="R82" s="15" t="s">
        <v>17</v>
      </c>
      <c r="S82" s="2" t="s">
        <v>17</v>
      </c>
      <c r="T82" s="15" t="s">
        <v>17</v>
      </c>
      <c r="U82" s="15" t="s">
        <v>17</v>
      </c>
      <c r="V82" s="15" t="s">
        <v>17</v>
      </c>
      <c r="W82" s="15" t="s">
        <v>17</v>
      </c>
      <c r="X82" s="15" t="s">
        <v>17</v>
      </c>
      <c r="Y82" s="15" t="s">
        <v>17</v>
      </c>
      <c r="Z82" s="15" t="s">
        <v>17</v>
      </c>
      <c r="AA82" s="15" t="s">
        <v>17</v>
      </c>
      <c r="AB82" s="15" t="s">
        <v>17</v>
      </c>
      <c r="AC82" s="15" t="s">
        <v>17</v>
      </c>
      <c r="AD82" s="15" t="s">
        <v>17</v>
      </c>
      <c r="AE82" s="15" t="s">
        <v>17</v>
      </c>
      <c r="AF82" s="15" t="s">
        <v>17</v>
      </c>
      <c r="AG82" s="15" t="s">
        <v>17</v>
      </c>
      <c r="AH82" s="15"/>
      <c r="AI82" s="11" t="s">
        <v>17</v>
      </c>
      <c r="AJ82" s="16">
        <v>0</v>
      </c>
      <c r="AK82" s="16">
        <v>38</v>
      </c>
      <c r="AL82" s="11" t="s">
        <v>17</v>
      </c>
      <c r="AM82" s="16">
        <v>4</v>
      </c>
      <c r="AN82" s="16">
        <v>21</v>
      </c>
      <c r="AO82" s="2" t="s">
        <v>266</v>
      </c>
      <c r="AP82" s="2" t="s">
        <v>17</v>
      </c>
      <c r="AQ82" s="2" t="s">
        <v>17</v>
      </c>
      <c r="AR82" s="11" t="s">
        <v>17</v>
      </c>
      <c r="AS82" s="2">
        <v>18</v>
      </c>
      <c r="AT82" s="2" t="s">
        <v>266</v>
      </c>
      <c r="AU82" s="12" t="s">
        <v>203</v>
      </c>
      <c r="AV82" s="12"/>
      <c r="AW82" s="12"/>
      <c r="AX82" s="12"/>
    </row>
    <row r="83" spans="1:50" ht="29" x14ac:dyDescent="0.35">
      <c r="A83" s="2" t="s">
        <v>162</v>
      </c>
      <c r="B83" s="18" t="s">
        <v>222</v>
      </c>
      <c r="C83" s="10" t="s">
        <v>223</v>
      </c>
      <c r="D83" s="11" t="s">
        <v>252</v>
      </c>
      <c r="E83" s="12" t="s">
        <v>16</v>
      </c>
      <c r="F83" s="12">
        <v>39</v>
      </c>
      <c r="G83" s="2" t="s">
        <v>253</v>
      </c>
      <c r="H83" s="12">
        <v>21</v>
      </c>
      <c r="I83" s="24">
        <v>53</v>
      </c>
      <c r="J83" s="12" t="s">
        <v>17</v>
      </c>
      <c r="K83" s="12" t="s">
        <v>17</v>
      </c>
      <c r="L83" s="12" t="s">
        <v>17</v>
      </c>
      <c r="M83" s="14" t="s">
        <v>285</v>
      </c>
      <c r="N83" s="14" t="s">
        <v>266</v>
      </c>
      <c r="O83" s="35" t="s">
        <v>17</v>
      </c>
      <c r="P83" s="15" t="s">
        <v>17</v>
      </c>
      <c r="Q83" s="15" t="s">
        <v>17</v>
      </c>
      <c r="R83" s="15" t="s">
        <v>17</v>
      </c>
      <c r="S83" s="2" t="s">
        <v>17</v>
      </c>
      <c r="T83" s="15" t="s">
        <v>17</v>
      </c>
      <c r="U83" s="15" t="s">
        <v>17</v>
      </c>
      <c r="V83" s="15" t="s">
        <v>17</v>
      </c>
      <c r="W83" s="15" t="s">
        <v>17</v>
      </c>
      <c r="X83" s="15" t="s">
        <v>17</v>
      </c>
      <c r="Y83" s="15" t="s">
        <v>17</v>
      </c>
      <c r="Z83" s="15" t="s">
        <v>17</v>
      </c>
      <c r="AA83" s="15" t="s">
        <v>17</v>
      </c>
      <c r="AB83" s="15" t="s">
        <v>17</v>
      </c>
      <c r="AC83" s="15" t="s">
        <v>17</v>
      </c>
      <c r="AD83" s="15" t="s">
        <v>17</v>
      </c>
      <c r="AE83" s="15" t="s">
        <v>17</v>
      </c>
      <c r="AF83" s="15" t="s">
        <v>17</v>
      </c>
      <c r="AG83" s="15" t="s">
        <v>17</v>
      </c>
      <c r="AH83" s="15"/>
      <c r="AI83" s="17" t="s">
        <v>17</v>
      </c>
      <c r="AJ83" s="16">
        <v>3</v>
      </c>
      <c r="AK83" s="16">
        <v>20</v>
      </c>
      <c r="AL83" s="17" t="s">
        <v>17</v>
      </c>
      <c r="AM83" s="16">
        <v>3</v>
      </c>
      <c r="AN83" s="16">
        <v>19</v>
      </c>
      <c r="AO83" s="2" t="s">
        <v>266</v>
      </c>
      <c r="AP83" s="2" t="s">
        <v>17</v>
      </c>
      <c r="AQ83" s="2" t="s">
        <v>17</v>
      </c>
      <c r="AR83" s="11">
        <v>14</v>
      </c>
      <c r="AS83" s="2">
        <v>21</v>
      </c>
      <c r="AT83" s="2" t="s">
        <v>17</v>
      </c>
      <c r="AU83" s="12" t="s">
        <v>214</v>
      </c>
      <c r="AV83" s="12"/>
      <c r="AW83" s="12"/>
      <c r="AX83" s="12" t="s">
        <v>224</v>
      </c>
    </row>
    <row r="84" spans="1:50" ht="29" x14ac:dyDescent="0.35">
      <c r="A84" s="2" t="s">
        <v>141</v>
      </c>
      <c r="B84" s="18" t="s">
        <v>142</v>
      </c>
      <c r="C84" s="10" t="s">
        <v>143</v>
      </c>
      <c r="D84" s="11" t="s">
        <v>144</v>
      </c>
      <c r="E84" s="12" t="s">
        <v>16</v>
      </c>
      <c r="F84" s="12">
        <v>1</v>
      </c>
      <c r="G84" s="2" t="s">
        <v>253</v>
      </c>
      <c r="H84" s="12">
        <v>1</v>
      </c>
      <c r="I84" s="24">
        <v>100</v>
      </c>
      <c r="J84" s="12">
        <v>1</v>
      </c>
      <c r="K84" s="12">
        <v>1</v>
      </c>
      <c r="L84" s="12">
        <v>100</v>
      </c>
      <c r="M84" s="14" t="s">
        <v>264</v>
      </c>
      <c r="N84" s="14" t="s">
        <v>266</v>
      </c>
      <c r="O84" s="35" t="s">
        <v>17</v>
      </c>
      <c r="P84" s="15" t="s">
        <v>17</v>
      </c>
      <c r="Q84" s="15" t="s">
        <v>17</v>
      </c>
      <c r="R84" s="15" t="s">
        <v>17</v>
      </c>
      <c r="S84" s="2" t="s">
        <v>17</v>
      </c>
      <c r="T84" s="15" t="s">
        <v>17</v>
      </c>
      <c r="U84" s="15" t="s">
        <v>17</v>
      </c>
      <c r="V84" s="15" t="s">
        <v>17</v>
      </c>
      <c r="W84" s="15" t="s">
        <v>17</v>
      </c>
      <c r="X84" s="15" t="s">
        <v>17</v>
      </c>
      <c r="Y84" s="15" t="s">
        <v>17</v>
      </c>
      <c r="Z84" s="15" t="s">
        <v>17</v>
      </c>
      <c r="AA84" s="15" t="s">
        <v>17</v>
      </c>
      <c r="AB84" s="15" t="s">
        <v>17</v>
      </c>
      <c r="AC84" s="15" t="s">
        <v>17</v>
      </c>
      <c r="AD84" s="15" t="s">
        <v>17</v>
      </c>
      <c r="AE84" s="15" t="s">
        <v>17</v>
      </c>
      <c r="AF84" s="15" t="s">
        <v>17</v>
      </c>
      <c r="AG84" s="15" t="s">
        <v>17</v>
      </c>
      <c r="AH84" s="15"/>
      <c r="AI84" s="11">
        <v>30</v>
      </c>
      <c r="AJ84" s="16">
        <v>30</v>
      </c>
      <c r="AK84" s="16">
        <v>30</v>
      </c>
      <c r="AL84" s="11">
        <v>30</v>
      </c>
      <c r="AM84" s="16">
        <v>30</v>
      </c>
      <c r="AN84" s="16">
        <v>30</v>
      </c>
      <c r="AO84" s="2" t="s">
        <v>266</v>
      </c>
      <c r="AP84" s="11" t="s">
        <v>17</v>
      </c>
      <c r="AQ84" s="11" t="s">
        <v>17</v>
      </c>
      <c r="AR84" s="11" t="s">
        <v>17</v>
      </c>
      <c r="AS84" s="11" t="s">
        <v>17</v>
      </c>
      <c r="AT84" s="11" t="s">
        <v>17</v>
      </c>
      <c r="AU84" s="12" t="s">
        <v>145</v>
      </c>
      <c r="AV84" s="12"/>
      <c r="AW84" s="12"/>
      <c r="AX84" s="12" t="s">
        <v>146</v>
      </c>
    </row>
    <row r="85" spans="1:50" ht="29" x14ac:dyDescent="0.35">
      <c r="A85" s="2" t="s">
        <v>141</v>
      </c>
      <c r="B85" s="9" t="s">
        <v>147</v>
      </c>
      <c r="C85" s="10" t="s">
        <v>148</v>
      </c>
      <c r="D85" s="11" t="s">
        <v>144</v>
      </c>
      <c r="E85" s="12" t="s">
        <v>16</v>
      </c>
      <c r="F85" s="12">
        <v>32</v>
      </c>
      <c r="G85" s="2" t="s">
        <v>253</v>
      </c>
      <c r="H85" s="12">
        <v>2</v>
      </c>
      <c r="I85" s="24">
        <v>6.2</v>
      </c>
      <c r="J85" s="12" t="s">
        <v>17</v>
      </c>
      <c r="K85" s="12" t="s">
        <v>17</v>
      </c>
      <c r="L85" s="12" t="s">
        <v>17</v>
      </c>
      <c r="M85" s="11" t="s">
        <v>264</v>
      </c>
      <c r="N85" s="14" t="s">
        <v>266</v>
      </c>
      <c r="O85" s="35" t="s">
        <v>17</v>
      </c>
      <c r="P85" s="15" t="s">
        <v>17</v>
      </c>
      <c r="Q85" s="15" t="s">
        <v>17</v>
      </c>
      <c r="R85" s="15" t="s">
        <v>17</v>
      </c>
      <c r="S85" s="2" t="s">
        <v>17</v>
      </c>
      <c r="T85" s="15" t="s">
        <v>17</v>
      </c>
      <c r="U85" s="15" t="s">
        <v>17</v>
      </c>
      <c r="V85" s="15" t="s">
        <v>17</v>
      </c>
      <c r="W85" s="15" t="s">
        <v>17</v>
      </c>
      <c r="X85" s="15" t="s">
        <v>17</v>
      </c>
      <c r="Y85" s="15" t="s">
        <v>17</v>
      </c>
      <c r="Z85" s="15" t="s">
        <v>17</v>
      </c>
      <c r="AA85" s="15" t="s">
        <v>17</v>
      </c>
      <c r="AB85" s="15" t="s">
        <v>17</v>
      </c>
      <c r="AC85" s="15" t="s">
        <v>17</v>
      </c>
      <c r="AD85" s="15" t="s">
        <v>17</v>
      </c>
      <c r="AE85" s="15" t="s">
        <v>17</v>
      </c>
      <c r="AF85" s="15" t="s">
        <v>17</v>
      </c>
      <c r="AG85" s="15" t="s">
        <v>17</v>
      </c>
      <c r="AH85" s="15"/>
      <c r="AI85" s="11" t="s">
        <v>149</v>
      </c>
      <c r="AJ85" s="16">
        <v>1</v>
      </c>
      <c r="AK85" s="16" t="s">
        <v>17</v>
      </c>
      <c r="AL85" s="11" t="s">
        <v>150</v>
      </c>
      <c r="AM85" s="16">
        <v>1</v>
      </c>
      <c r="AN85" s="16">
        <v>5</v>
      </c>
      <c r="AO85" s="2" t="s">
        <v>266</v>
      </c>
      <c r="AP85" s="2" t="s">
        <v>17</v>
      </c>
      <c r="AQ85" s="11" t="s">
        <v>17</v>
      </c>
      <c r="AR85" s="11" t="s">
        <v>17</v>
      </c>
      <c r="AS85" s="2" t="s">
        <v>17</v>
      </c>
      <c r="AT85" s="2" t="s">
        <v>17</v>
      </c>
      <c r="AU85" s="12" t="s">
        <v>151</v>
      </c>
      <c r="AV85" s="12"/>
      <c r="AW85" s="12"/>
      <c r="AX85" s="12"/>
    </row>
    <row r="86" spans="1:50" x14ac:dyDescent="0.35">
      <c r="A86" s="2" t="s">
        <v>141</v>
      </c>
      <c r="B86" s="9" t="s">
        <v>152</v>
      </c>
      <c r="C86" s="10" t="s">
        <v>153</v>
      </c>
      <c r="D86" s="11" t="s">
        <v>144</v>
      </c>
      <c r="E86" s="12" t="s">
        <v>16</v>
      </c>
      <c r="F86" s="12">
        <v>6</v>
      </c>
      <c r="G86" s="2" t="s">
        <v>436</v>
      </c>
      <c r="H86" s="12">
        <v>6</v>
      </c>
      <c r="I86" s="24">
        <v>100</v>
      </c>
      <c r="J86" s="12" t="s">
        <v>17</v>
      </c>
      <c r="K86" s="12" t="s">
        <v>17</v>
      </c>
      <c r="L86" s="12" t="s">
        <v>17</v>
      </c>
      <c r="M86" s="14" t="s">
        <v>264</v>
      </c>
      <c r="N86" s="14" t="s">
        <v>266</v>
      </c>
      <c r="O86" s="35" t="s">
        <v>17</v>
      </c>
      <c r="P86" s="15" t="s">
        <v>17</v>
      </c>
      <c r="Q86" s="15" t="s">
        <v>17</v>
      </c>
      <c r="R86" s="15" t="s">
        <v>17</v>
      </c>
      <c r="S86" s="2" t="s">
        <v>17</v>
      </c>
      <c r="T86" s="15" t="s">
        <v>17</v>
      </c>
      <c r="U86" s="15" t="s">
        <v>17</v>
      </c>
      <c r="V86" s="15" t="s">
        <v>17</v>
      </c>
      <c r="W86" s="15" t="s">
        <v>17</v>
      </c>
      <c r="X86" s="15" t="s">
        <v>17</v>
      </c>
      <c r="Y86" s="15" t="s">
        <v>17</v>
      </c>
      <c r="Z86" s="15" t="s">
        <v>17</v>
      </c>
      <c r="AA86" s="15" t="s">
        <v>17</v>
      </c>
      <c r="AB86" s="15" t="s">
        <v>17</v>
      </c>
      <c r="AC86" s="15" t="s">
        <v>17</v>
      </c>
      <c r="AD86" s="15" t="s">
        <v>17</v>
      </c>
      <c r="AE86" s="15" t="s">
        <v>17</v>
      </c>
      <c r="AF86" s="15" t="s">
        <v>17</v>
      </c>
      <c r="AG86" s="15" t="s">
        <v>17</v>
      </c>
      <c r="AH86" s="15"/>
      <c r="AI86" s="11" t="s">
        <v>17</v>
      </c>
      <c r="AJ86" s="16" t="s">
        <v>17</v>
      </c>
      <c r="AK86" s="16" t="s">
        <v>17</v>
      </c>
      <c r="AL86" s="11" t="s">
        <v>17</v>
      </c>
      <c r="AM86" s="16" t="s">
        <v>17</v>
      </c>
      <c r="AN86" s="16" t="s">
        <v>17</v>
      </c>
      <c r="AO86" s="2" t="s">
        <v>266</v>
      </c>
      <c r="AP86" s="2" t="s">
        <v>17</v>
      </c>
      <c r="AQ86" s="11" t="s">
        <v>17</v>
      </c>
      <c r="AR86" s="11" t="s">
        <v>17</v>
      </c>
      <c r="AS86" s="2" t="s">
        <v>17</v>
      </c>
      <c r="AT86" s="2" t="s">
        <v>17</v>
      </c>
      <c r="AU86" s="12" t="s">
        <v>145</v>
      </c>
      <c r="AV86" s="12"/>
      <c r="AW86" s="12"/>
      <c r="AX86" s="12" t="s">
        <v>421</v>
      </c>
    </row>
    <row r="87" spans="1:50" ht="58" x14ac:dyDescent="0.35">
      <c r="A87" s="2" t="s">
        <v>141</v>
      </c>
      <c r="B87" s="18" t="s">
        <v>154</v>
      </c>
      <c r="C87" s="10" t="s">
        <v>155</v>
      </c>
      <c r="D87" s="11" t="s">
        <v>144</v>
      </c>
      <c r="E87" s="12" t="s">
        <v>16</v>
      </c>
      <c r="F87" s="12">
        <v>146</v>
      </c>
      <c r="G87" s="2" t="s">
        <v>253</v>
      </c>
      <c r="H87" s="12">
        <v>35</v>
      </c>
      <c r="I87" s="24">
        <v>24</v>
      </c>
      <c r="J87" s="12" t="s">
        <v>17</v>
      </c>
      <c r="K87" s="12" t="s">
        <v>17</v>
      </c>
      <c r="L87" s="12" t="s">
        <v>17</v>
      </c>
      <c r="M87" s="14" t="s">
        <v>264</v>
      </c>
      <c r="N87" s="14" t="s">
        <v>266</v>
      </c>
      <c r="O87" s="35" t="s">
        <v>17</v>
      </c>
      <c r="P87" s="15" t="s">
        <v>17</v>
      </c>
      <c r="Q87" s="15" t="s">
        <v>17</v>
      </c>
      <c r="R87" s="15" t="s">
        <v>17</v>
      </c>
      <c r="S87" s="2" t="s">
        <v>17</v>
      </c>
      <c r="T87" s="15" t="s">
        <v>17</v>
      </c>
      <c r="U87" s="15" t="s">
        <v>17</v>
      </c>
      <c r="V87" s="15" t="s">
        <v>17</v>
      </c>
      <c r="W87" s="15" t="s">
        <v>17</v>
      </c>
      <c r="X87" s="15" t="s">
        <v>17</v>
      </c>
      <c r="Y87" s="15" t="s">
        <v>17</v>
      </c>
      <c r="Z87" s="15" t="s">
        <v>17</v>
      </c>
      <c r="AA87" s="15" t="s">
        <v>17</v>
      </c>
      <c r="AB87" s="15" t="s">
        <v>17</v>
      </c>
      <c r="AC87" s="15" t="s">
        <v>17</v>
      </c>
      <c r="AD87" s="15" t="s">
        <v>17</v>
      </c>
      <c r="AE87" s="15" t="s">
        <v>17</v>
      </c>
      <c r="AF87" s="15" t="s">
        <v>17</v>
      </c>
      <c r="AG87" s="15" t="s">
        <v>17</v>
      </c>
      <c r="AH87" s="15"/>
      <c r="AI87" s="11" t="s">
        <v>423</v>
      </c>
      <c r="AJ87" s="16">
        <v>0</v>
      </c>
      <c r="AK87" s="16">
        <v>95</v>
      </c>
      <c r="AL87" s="11" t="s">
        <v>422</v>
      </c>
      <c r="AM87" s="41">
        <v>0</v>
      </c>
      <c r="AN87" s="41">
        <v>95</v>
      </c>
      <c r="AO87" s="2" t="s">
        <v>259</v>
      </c>
      <c r="AP87" s="2" t="s">
        <v>451</v>
      </c>
      <c r="AQ87" s="39">
        <v>25.3</v>
      </c>
      <c r="AS87" s="2">
        <v>35</v>
      </c>
      <c r="AT87" s="2" t="s">
        <v>266</v>
      </c>
      <c r="AU87" s="12" t="s">
        <v>145</v>
      </c>
      <c r="AV87" s="12"/>
      <c r="AW87" s="12"/>
      <c r="AX87" s="12" t="s">
        <v>156</v>
      </c>
    </row>
    <row r="88" spans="1:50" ht="29" x14ac:dyDescent="0.35">
      <c r="A88" s="2" t="s">
        <v>141</v>
      </c>
      <c r="B88" s="18" t="s">
        <v>157</v>
      </c>
      <c r="C88" s="10" t="s">
        <v>158</v>
      </c>
      <c r="D88" s="11" t="s">
        <v>144</v>
      </c>
      <c r="E88" s="12" t="s">
        <v>16</v>
      </c>
      <c r="F88" s="12">
        <v>19</v>
      </c>
      <c r="G88" s="2" t="s">
        <v>253</v>
      </c>
      <c r="H88" s="12">
        <v>1</v>
      </c>
      <c r="I88" s="24">
        <v>5</v>
      </c>
      <c r="J88" s="12" t="s">
        <v>17</v>
      </c>
      <c r="K88" s="12" t="s">
        <v>17</v>
      </c>
      <c r="L88" s="12" t="s">
        <v>17</v>
      </c>
      <c r="M88" s="14" t="s">
        <v>264</v>
      </c>
      <c r="N88" s="14" t="s">
        <v>266</v>
      </c>
      <c r="O88" s="35" t="s">
        <v>17</v>
      </c>
      <c r="P88" s="15" t="s">
        <v>17</v>
      </c>
      <c r="Q88" s="15" t="s">
        <v>17</v>
      </c>
      <c r="R88" s="15" t="s">
        <v>17</v>
      </c>
      <c r="S88" s="2" t="s">
        <v>17</v>
      </c>
      <c r="T88" s="15" t="s">
        <v>17</v>
      </c>
      <c r="U88" s="15" t="s">
        <v>17</v>
      </c>
      <c r="V88" s="15" t="s">
        <v>17</v>
      </c>
      <c r="W88" s="15" t="s">
        <v>17</v>
      </c>
      <c r="X88" s="15" t="s">
        <v>17</v>
      </c>
      <c r="Y88" s="15" t="s">
        <v>17</v>
      </c>
      <c r="Z88" s="15" t="s">
        <v>17</v>
      </c>
      <c r="AA88" s="15" t="s">
        <v>17</v>
      </c>
      <c r="AB88" s="15" t="s">
        <v>17</v>
      </c>
      <c r="AC88" s="15" t="s">
        <v>17</v>
      </c>
      <c r="AD88" s="15" t="s">
        <v>17</v>
      </c>
      <c r="AE88" s="15" t="s">
        <v>17</v>
      </c>
      <c r="AF88" s="15" t="s">
        <v>17</v>
      </c>
      <c r="AG88" s="15" t="s">
        <v>17</v>
      </c>
      <c r="AH88" s="15"/>
      <c r="AI88" s="11" t="s">
        <v>420</v>
      </c>
      <c r="AJ88" s="16">
        <v>0</v>
      </c>
      <c r="AK88" s="16">
        <v>45</v>
      </c>
      <c r="AL88" s="11">
        <v>5</v>
      </c>
      <c r="AM88" s="16">
        <v>5</v>
      </c>
      <c r="AN88" s="16">
        <v>5</v>
      </c>
      <c r="AO88" s="2" t="s">
        <v>266</v>
      </c>
      <c r="AP88" s="2" t="s">
        <v>17</v>
      </c>
      <c r="AQ88" s="2" t="s">
        <v>17</v>
      </c>
      <c r="AR88" s="11" t="s">
        <v>17</v>
      </c>
      <c r="AS88" s="2" t="s">
        <v>17</v>
      </c>
      <c r="AT88" s="2" t="s">
        <v>17</v>
      </c>
      <c r="AU88" s="12" t="s">
        <v>145</v>
      </c>
      <c r="AV88" s="12"/>
      <c r="AW88" s="12"/>
      <c r="AX88" s="12" t="s">
        <v>159</v>
      </c>
    </row>
    <row r="89" spans="1:50" x14ac:dyDescent="0.35">
      <c r="A89" s="2" t="s">
        <v>141</v>
      </c>
      <c r="B89" s="9" t="s">
        <v>160</v>
      </c>
      <c r="C89" s="10" t="s">
        <v>161</v>
      </c>
      <c r="D89" s="11" t="s">
        <v>144</v>
      </c>
      <c r="E89" s="12" t="s">
        <v>16</v>
      </c>
      <c r="F89" s="12">
        <v>18</v>
      </c>
      <c r="G89" s="2" t="s">
        <v>253</v>
      </c>
      <c r="H89" s="12">
        <v>15</v>
      </c>
      <c r="I89" s="24">
        <v>83</v>
      </c>
      <c r="J89" s="12" t="s">
        <v>17</v>
      </c>
      <c r="K89" s="12" t="s">
        <v>17</v>
      </c>
      <c r="L89" s="12" t="s">
        <v>17</v>
      </c>
      <c r="M89" s="14" t="s">
        <v>264</v>
      </c>
      <c r="N89" s="14" t="s">
        <v>259</v>
      </c>
      <c r="O89" s="36">
        <v>696</v>
      </c>
      <c r="P89" s="15" t="s">
        <v>294</v>
      </c>
      <c r="Q89" s="2">
        <v>15</v>
      </c>
      <c r="R89" s="2" t="s">
        <v>259</v>
      </c>
      <c r="S89" s="2" t="s">
        <v>259</v>
      </c>
      <c r="T89" s="7">
        <v>9600</v>
      </c>
      <c r="U89" s="4">
        <v>15</v>
      </c>
      <c r="V89" t="s">
        <v>17</v>
      </c>
      <c r="W89" t="s">
        <v>17</v>
      </c>
      <c r="X89" s="7" t="s">
        <v>17</v>
      </c>
      <c r="Y89" s="7">
        <v>29</v>
      </c>
      <c r="Z89" s="7">
        <v>9600</v>
      </c>
      <c r="AA89" t="s">
        <v>312</v>
      </c>
      <c r="AB89" s="7" t="s">
        <v>371</v>
      </c>
      <c r="AC89" s="7" t="s">
        <v>17</v>
      </c>
      <c r="AD89" s="7"/>
      <c r="AE89" s="7" t="s">
        <v>17</v>
      </c>
      <c r="AF89" s="7" t="s">
        <v>266</v>
      </c>
      <c r="AG89" s="15" t="s">
        <v>297</v>
      </c>
      <c r="AH89" s="15" t="s">
        <v>463</v>
      </c>
      <c r="AI89" s="11" t="s">
        <v>307</v>
      </c>
      <c r="AJ89" s="16">
        <v>1</v>
      </c>
      <c r="AK89" s="16">
        <v>90</v>
      </c>
      <c r="AL89" s="27" t="s">
        <v>17</v>
      </c>
      <c r="AM89" s="16">
        <v>1</v>
      </c>
      <c r="AN89" s="16">
        <v>9</v>
      </c>
      <c r="AO89" s="2" t="s">
        <v>266</v>
      </c>
      <c r="AP89" s="2" t="s">
        <v>17</v>
      </c>
      <c r="AQ89" s="2" t="s">
        <v>17</v>
      </c>
      <c r="AR89" s="11">
        <v>10</v>
      </c>
      <c r="AS89" s="2">
        <v>15</v>
      </c>
      <c r="AT89" s="2" t="s">
        <v>259</v>
      </c>
      <c r="AU89" s="12" t="s">
        <v>145</v>
      </c>
      <c r="AV89" s="12"/>
      <c r="AW89" s="12"/>
      <c r="AX89" s="12"/>
    </row>
    <row r="90" spans="1:50" x14ac:dyDescent="0.35">
      <c r="A90" s="2" t="s">
        <v>382</v>
      </c>
      <c r="B90" s="18" t="s">
        <v>374</v>
      </c>
      <c r="C90" s="6" t="s">
        <v>375</v>
      </c>
      <c r="D90" s="11" t="s">
        <v>331</v>
      </c>
      <c r="E90" s="12" t="s">
        <v>31</v>
      </c>
      <c r="F90" s="12">
        <v>95</v>
      </c>
      <c r="G90" s="2" t="s">
        <v>253</v>
      </c>
      <c r="H90" s="12">
        <v>56</v>
      </c>
      <c r="I90" s="12" t="s">
        <v>17</v>
      </c>
      <c r="J90" s="12" t="s">
        <v>17</v>
      </c>
      <c r="K90" s="12" t="s">
        <v>17</v>
      </c>
      <c r="L90" s="12" t="s">
        <v>17</v>
      </c>
      <c r="M90" s="14" t="s">
        <v>264</v>
      </c>
      <c r="N90" s="14" t="s">
        <v>259</v>
      </c>
      <c r="O90" s="35">
        <v>1900000</v>
      </c>
      <c r="P90" s="15" t="s">
        <v>294</v>
      </c>
      <c r="Q90" s="2">
        <v>22</v>
      </c>
      <c r="R90" s="2" t="s">
        <v>266</v>
      </c>
      <c r="S90" s="2" t="s">
        <v>266</v>
      </c>
      <c r="T90" s="15" t="s">
        <v>17</v>
      </c>
      <c r="V90" s="15" t="s">
        <v>17</v>
      </c>
      <c r="W90" s="15" t="s">
        <v>17</v>
      </c>
      <c r="X90" s="15" t="s">
        <v>17</v>
      </c>
      <c r="Y90" s="15" t="s">
        <v>17</v>
      </c>
      <c r="Z90" s="15" t="s">
        <v>17</v>
      </c>
      <c r="AA90" s="15" t="s">
        <v>17</v>
      </c>
      <c r="AB90" s="15" t="s">
        <v>17</v>
      </c>
      <c r="AC90" s="7">
        <v>230000</v>
      </c>
      <c r="AD90" s="7">
        <v>200000000</v>
      </c>
      <c r="AE90" s="2" t="s">
        <v>376</v>
      </c>
      <c r="AF90" s="2" t="s">
        <v>266</v>
      </c>
      <c r="AG90" s="15" t="s">
        <v>297</v>
      </c>
      <c r="AH90" s="15" t="s">
        <v>463</v>
      </c>
      <c r="AI90" s="11" t="s">
        <v>17</v>
      </c>
      <c r="AJ90" s="16">
        <v>5</v>
      </c>
      <c r="AK90" s="16">
        <v>30</v>
      </c>
      <c r="AL90" s="11" t="s">
        <v>17</v>
      </c>
      <c r="AM90" s="41" t="s">
        <v>17</v>
      </c>
      <c r="AN90" s="41" t="s">
        <v>17</v>
      </c>
      <c r="AO90" s="2" t="s">
        <v>259</v>
      </c>
      <c r="AP90" s="2" t="s">
        <v>454</v>
      </c>
      <c r="AQ90" s="39">
        <v>20</v>
      </c>
      <c r="AS90" s="2">
        <v>22</v>
      </c>
      <c r="AT90" s="2" t="s">
        <v>259</v>
      </c>
      <c r="AV90" s="12" t="s">
        <v>259</v>
      </c>
      <c r="AW90">
        <v>3</v>
      </c>
      <c r="AX90" s="12" t="s">
        <v>377</v>
      </c>
    </row>
    <row r="91" spans="1:50" ht="58" x14ac:dyDescent="0.35">
      <c r="A91" s="2" t="s">
        <v>382</v>
      </c>
      <c r="B91" s="18" t="s">
        <v>378</v>
      </c>
      <c r="C91" s="6" t="s">
        <v>466</v>
      </c>
      <c r="D91" s="11" t="s">
        <v>331</v>
      </c>
      <c r="E91" s="12" t="s">
        <v>31</v>
      </c>
      <c r="F91" s="12">
        <v>113</v>
      </c>
      <c r="G91" s="2" t="s">
        <v>465</v>
      </c>
      <c r="H91" s="12">
        <v>113</v>
      </c>
      <c r="I91" s="24" t="s">
        <v>17</v>
      </c>
      <c r="J91" s="12" t="s">
        <v>17</v>
      </c>
      <c r="K91" s="12" t="s">
        <v>17</v>
      </c>
      <c r="L91" s="12" t="s">
        <v>17</v>
      </c>
      <c r="M91" s="14" t="s">
        <v>264</v>
      </c>
      <c r="N91" s="14" t="s">
        <v>259</v>
      </c>
      <c r="O91" s="35">
        <v>57991.4</v>
      </c>
      <c r="P91" s="15" t="s">
        <v>294</v>
      </c>
      <c r="Q91" s="2">
        <v>113</v>
      </c>
      <c r="R91" s="2" t="s">
        <v>259</v>
      </c>
      <c r="S91" s="2" t="s">
        <v>259</v>
      </c>
      <c r="T91" s="15">
        <v>96490</v>
      </c>
      <c r="U91" s="4">
        <v>113</v>
      </c>
      <c r="V91" s="2" t="s">
        <v>17</v>
      </c>
      <c r="W91" s="2" t="s">
        <v>17</v>
      </c>
      <c r="X91" s="2" t="s">
        <v>17</v>
      </c>
      <c r="Y91" s="15">
        <v>10908</v>
      </c>
      <c r="Z91" s="15">
        <v>236144</v>
      </c>
      <c r="AA91" t="s">
        <v>312</v>
      </c>
      <c r="AB91" s="2" t="s">
        <v>389</v>
      </c>
      <c r="AC91" s="2" t="s">
        <v>17</v>
      </c>
      <c r="AD91" s="2" t="s">
        <v>17</v>
      </c>
      <c r="AE91" s="2" t="s">
        <v>17</v>
      </c>
      <c r="AF91" s="2" t="s">
        <v>259</v>
      </c>
      <c r="AG91" s="15" t="s">
        <v>379</v>
      </c>
      <c r="AH91" s="15" t="s">
        <v>463</v>
      </c>
      <c r="AI91" s="11" t="s">
        <v>17</v>
      </c>
      <c r="AJ91" s="16">
        <v>-3</v>
      </c>
      <c r="AK91" s="16">
        <v>21</v>
      </c>
      <c r="AL91" s="11" t="s">
        <v>17</v>
      </c>
      <c r="AM91" s="16">
        <v>-3</v>
      </c>
      <c r="AN91" s="16">
        <v>21</v>
      </c>
      <c r="AO91" s="2" t="s">
        <v>266</v>
      </c>
      <c r="AP91" s="2" t="s">
        <v>438</v>
      </c>
      <c r="AQ91" s="11">
        <v>24</v>
      </c>
      <c r="AS91" s="2">
        <v>44</v>
      </c>
      <c r="AT91" s="2" t="s">
        <v>266</v>
      </c>
      <c r="AU91" s="12" t="s">
        <v>380</v>
      </c>
      <c r="AW91" s="12"/>
      <c r="AX91" s="12" t="s">
        <v>388</v>
      </c>
    </row>
    <row r="92" spans="1:50" ht="58" x14ac:dyDescent="0.35">
      <c r="A92" s="2" t="s">
        <v>382</v>
      </c>
      <c r="B92" s="18" t="s">
        <v>378</v>
      </c>
      <c r="C92" s="6" t="s">
        <v>467</v>
      </c>
      <c r="D92" s="11" t="s">
        <v>331</v>
      </c>
      <c r="E92" s="12" t="s">
        <v>31</v>
      </c>
      <c r="F92" s="12">
        <v>72</v>
      </c>
      <c r="G92" s="2" t="s">
        <v>253</v>
      </c>
      <c r="H92" s="12">
        <v>72</v>
      </c>
      <c r="I92" s="24" t="s">
        <v>17</v>
      </c>
      <c r="J92" s="12" t="s">
        <v>17</v>
      </c>
      <c r="K92" s="12" t="s">
        <v>17</v>
      </c>
      <c r="L92" s="12" t="s">
        <v>17</v>
      </c>
      <c r="M92" s="14" t="s">
        <v>264</v>
      </c>
      <c r="N92" s="14" t="s">
        <v>259</v>
      </c>
      <c r="O92" s="35">
        <v>20366.259999999998</v>
      </c>
      <c r="P92" s="15" t="s">
        <v>294</v>
      </c>
      <c r="Q92" s="2">
        <v>72</v>
      </c>
      <c r="R92" s="2" t="s">
        <v>259</v>
      </c>
      <c r="S92" s="2" t="s">
        <v>259</v>
      </c>
      <c r="T92" s="15" t="s">
        <v>17</v>
      </c>
      <c r="U92" s="4" t="s">
        <v>17</v>
      </c>
      <c r="V92" s="2" t="s">
        <v>17</v>
      </c>
      <c r="W92" s="2" t="s">
        <v>17</v>
      </c>
      <c r="X92" s="2" t="s">
        <v>17</v>
      </c>
      <c r="Y92" s="15">
        <v>10908</v>
      </c>
      <c r="Z92" s="15">
        <v>43000</v>
      </c>
      <c r="AA92" t="s">
        <v>312</v>
      </c>
      <c r="AB92" s="2" t="s">
        <v>389</v>
      </c>
      <c r="AC92" s="2" t="s">
        <v>17</v>
      </c>
      <c r="AD92" s="2" t="s">
        <v>17</v>
      </c>
      <c r="AE92" s="2" t="s">
        <v>17</v>
      </c>
      <c r="AF92" s="2" t="s">
        <v>259</v>
      </c>
      <c r="AG92" s="15" t="s">
        <v>379</v>
      </c>
      <c r="AH92" s="15" t="s">
        <v>463</v>
      </c>
      <c r="AI92" s="11" t="s">
        <v>17</v>
      </c>
      <c r="AJ92" s="16">
        <v>-3</v>
      </c>
      <c r="AK92" s="16">
        <v>21</v>
      </c>
      <c r="AL92" s="11" t="s">
        <v>17</v>
      </c>
      <c r="AM92" s="16">
        <v>-3</v>
      </c>
      <c r="AN92" s="16">
        <v>21</v>
      </c>
      <c r="AO92" s="2" t="s">
        <v>266</v>
      </c>
      <c r="AP92" s="2" t="s">
        <v>438</v>
      </c>
      <c r="AQ92" s="11">
        <v>24</v>
      </c>
      <c r="AS92" s="2">
        <v>44</v>
      </c>
      <c r="AT92" s="2" t="s">
        <v>266</v>
      </c>
      <c r="AU92" s="12" t="s">
        <v>380</v>
      </c>
      <c r="AW92" s="12"/>
      <c r="AX92" s="12" t="s">
        <v>388</v>
      </c>
    </row>
    <row r="93" spans="1:50" ht="43.5" x14ac:dyDescent="0.35">
      <c r="A93" s="2" t="s">
        <v>382</v>
      </c>
      <c r="B93" s="18" t="s">
        <v>457</v>
      </c>
      <c r="C93" s="6" t="s">
        <v>458</v>
      </c>
      <c r="D93" s="11" t="s">
        <v>331</v>
      </c>
      <c r="E93" s="12" t="s">
        <v>31</v>
      </c>
      <c r="F93" s="12">
        <v>48</v>
      </c>
      <c r="G93" s="2" t="s">
        <v>253</v>
      </c>
      <c r="H93" s="12">
        <v>37</v>
      </c>
      <c r="I93" s="24">
        <v>77</v>
      </c>
      <c r="J93" s="12">
        <v>379</v>
      </c>
      <c r="K93" s="12">
        <v>193</v>
      </c>
      <c r="L93" s="12" t="s">
        <v>17</v>
      </c>
      <c r="M93" s="14" t="s">
        <v>264</v>
      </c>
      <c r="N93" s="14" t="s">
        <v>259</v>
      </c>
      <c r="O93" s="35">
        <v>19000</v>
      </c>
      <c r="P93" s="15" t="s">
        <v>295</v>
      </c>
      <c r="Q93" s="2">
        <v>45</v>
      </c>
      <c r="R93" s="2" t="s">
        <v>266</v>
      </c>
      <c r="S93" s="2" t="s">
        <v>266</v>
      </c>
      <c r="T93" s="15">
        <v>2800000</v>
      </c>
      <c r="U93" s="4">
        <v>45</v>
      </c>
      <c r="V93" s="15"/>
      <c r="W93" s="2"/>
      <c r="Y93" s="15">
        <v>34</v>
      </c>
      <c r="Z93" s="15">
        <v>2800000</v>
      </c>
      <c r="AA93" s="15" t="s">
        <v>312</v>
      </c>
      <c r="AB93" s="2" t="s">
        <v>371</v>
      </c>
      <c r="AC93" s="2" t="s">
        <v>17</v>
      </c>
      <c r="AD93" s="2" t="s">
        <v>17</v>
      </c>
      <c r="AE93" s="2" t="s">
        <v>17</v>
      </c>
      <c r="AF93" s="2" t="s">
        <v>259</v>
      </c>
      <c r="AG93" s="15" t="s">
        <v>459</v>
      </c>
      <c r="AH93" s="15" t="s">
        <v>464</v>
      </c>
      <c r="AI93" s="43" t="s">
        <v>17</v>
      </c>
      <c r="AJ93" s="16">
        <v>-3</v>
      </c>
      <c r="AK93" s="16">
        <v>28</v>
      </c>
      <c r="AL93" s="11" t="s">
        <v>17</v>
      </c>
      <c r="AM93" s="16">
        <v>-3</v>
      </c>
      <c r="AN93" s="16">
        <v>28</v>
      </c>
      <c r="AO93" s="2" t="s">
        <v>266</v>
      </c>
      <c r="AP93" s="2" t="s">
        <v>17</v>
      </c>
      <c r="AQ93" s="11" t="s">
        <v>17</v>
      </c>
      <c r="AR93">
        <v>31</v>
      </c>
      <c r="AS93" s="2">
        <v>45</v>
      </c>
      <c r="AT93" s="2" t="s">
        <v>259</v>
      </c>
      <c r="AU93" s="12" t="s">
        <v>461</v>
      </c>
      <c r="AW93" s="12"/>
      <c r="AX93" s="12" t="s">
        <v>460</v>
      </c>
    </row>
    <row r="94" spans="1:50" ht="29" x14ac:dyDescent="0.35">
      <c r="A94" s="2" t="s">
        <v>245</v>
      </c>
      <c r="B94" s="32" t="s">
        <v>334</v>
      </c>
      <c r="C94" s="1" t="s">
        <v>333</v>
      </c>
      <c r="D94" s="11" t="s">
        <v>332</v>
      </c>
      <c r="E94" s="12" t="s">
        <v>16</v>
      </c>
      <c r="F94" s="12">
        <v>5</v>
      </c>
      <c r="G94" s="2" t="s">
        <v>253</v>
      </c>
      <c r="H94" s="12">
        <v>1</v>
      </c>
      <c r="I94" s="3">
        <v>20</v>
      </c>
      <c r="J94" s="12" t="s">
        <v>17</v>
      </c>
      <c r="K94" s="12" t="s">
        <v>17</v>
      </c>
      <c r="L94" s="12" t="s">
        <v>17</v>
      </c>
      <c r="M94" s="14" t="s">
        <v>264</v>
      </c>
      <c r="N94" s="14" t="s">
        <v>259</v>
      </c>
      <c r="O94" s="34">
        <f>2.2*10^4</f>
        <v>22000</v>
      </c>
      <c r="P94" s="15" t="s">
        <v>294</v>
      </c>
      <c r="Q94" s="2">
        <v>1</v>
      </c>
      <c r="R94" s="2" t="s">
        <v>259</v>
      </c>
      <c r="S94" s="2" t="s">
        <v>259</v>
      </c>
      <c r="T94" s="21">
        <v>100000</v>
      </c>
      <c r="U94" s="4">
        <v>1</v>
      </c>
      <c r="V94" s="7" t="s">
        <v>17</v>
      </c>
      <c r="W94" s="7" t="s">
        <v>17</v>
      </c>
      <c r="X94" s="7" t="s">
        <v>17</v>
      </c>
      <c r="Y94" s="7" t="s">
        <v>17</v>
      </c>
      <c r="Z94" s="7" t="s">
        <v>17</v>
      </c>
      <c r="AA94" s="7" t="s">
        <v>17</v>
      </c>
      <c r="AB94" s="7" t="s">
        <v>17</v>
      </c>
      <c r="AC94" s="7" t="s">
        <v>17</v>
      </c>
      <c r="AD94" s="7" t="s">
        <v>17</v>
      </c>
      <c r="AE94" s="7" t="s">
        <v>17</v>
      </c>
      <c r="AF94" s="2" t="s">
        <v>266</v>
      </c>
      <c r="AG94" s="15" t="s">
        <v>297</v>
      </c>
      <c r="AH94" s="15" t="s">
        <v>463</v>
      </c>
      <c r="AI94" s="11" t="s">
        <v>17</v>
      </c>
      <c r="AJ94" s="5">
        <v>7</v>
      </c>
      <c r="AK94" s="5">
        <v>28</v>
      </c>
      <c r="AL94" s="11" t="s">
        <v>17</v>
      </c>
      <c r="AM94" s="5">
        <v>7</v>
      </c>
      <c r="AN94" s="5">
        <v>23</v>
      </c>
      <c r="AO94" s="2" t="s">
        <v>266</v>
      </c>
      <c r="AP94" s="2" t="s">
        <v>17</v>
      </c>
      <c r="AQ94" s="2" t="s">
        <v>17</v>
      </c>
      <c r="AR94" s="11">
        <v>15</v>
      </c>
      <c r="AS94" s="2">
        <v>1</v>
      </c>
      <c r="AT94" s="2" t="s">
        <v>259</v>
      </c>
      <c r="AU94" s="12" t="s">
        <v>335</v>
      </c>
      <c r="AV94" s="12"/>
      <c r="AX94" t="s">
        <v>342</v>
      </c>
    </row>
    <row r="95" spans="1:50" ht="72.5" x14ac:dyDescent="0.35">
      <c r="A95" s="2" t="s">
        <v>245</v>
      </c>
      <c r="B95" s="32" t="s">
        <v>337</v>
      </c>
      <c r="C95" s="1" t="s">
        <v>336</v>
      </c>
      <c r="D95" s="11" t="s">
        <v>332</v>
      </c>
      <c r="E95" s="12" t="s">
        <v>16</v>
      </c>
      <c r="F95" s="12">
        <v>14</v>
      </c>
      <c r="G95" s="2" t="s">
        <v>253</v>
      </c>
      <c r="H95" s="12">
        <v>1</v>
      </c>
      <c r="I95" s="3">
        <f>100*1/14</f>
        <v>7.1428571428571432</v>
      </c>
      <c r="J95">
        <v>1</v>
      </c>
      <c r="K95">
        <v>1</v>
      </c>
      <c r="L95">
        <v>100</v>
      </c>
      <c r="M95" s="14" t="s">
        <v>264</v>
      </c>
      <c r="N95" s="14" t="s">
        <v>259</v>
      </c>
      <c r="O95" s="37">
        <f>7.2*10^4</f>
        <v>72000</v>
      </c>
      <c r="P95" s="15" t="s">
        <v>17</v>
      </c>
      <c r="Q95" s="2">
        <v>1</v>
      </c>
      <c r="R95" s="2" t="s">
        <v>266</v>
      </c>
      <c r="S95" s="2" t="s">
        <v>266</v>
      </c>
      <c r="T95" s="15" t="s">
        <v>17</v>
      </c>
      <c r="U95" s="15" t="s">
        <v>17</v>
      </c>
      <c r="V95" s="15" t="s">
        <v>17</v>
      </c>
      <c r="W95" s="15" t="s">
        <v>17</v>
      </c>
      <c r="X95" s="15" t="s">
        <v>17</v>
      </c>
      <c r="Y95" s="15" t="s">
        <v>17</v>
      </c>
      <c r="Z95" s="15" t="s">
        <v>17</v>
      </c>
      <c r="AA95" s="15" t="s">
        <v>17</v>
      </c>
      <c r="AB95" s="15" t="s">
        <v>17</v>
      </c>
      <c r="AC95" s="15" t="s">
        <v>17</v>
      </c>
      <c r="AD95" s="15" t="s">
        <v>17</v>
      </c>
      <c r="AE95" s="15" t="s">
        <v>17</v>
      </c>
      <c r="AF95" s="15" t="s">
        <v>17</v>
      </c>
      <c r="AG95" s="15" t="s">
        <v>297</v>
      </c>
      <c r="AH95" s="15" t="s">
        <v>463</v>
      </c>
      <c r="AI95">
        <v>7</v>
      </c>
      <c r="AJ95" s="5">
        <v>7</v>
      </c>
      <c r="AK95" s="5">
        <v>7</v>
      </c>
      <c r="AL95">
        <v>7</v>
      </c>
      <c r="AM95" s="5">
        <v>7</v>
      </c>
      <c r="AN95" s="5">
        <v>7</v>
      </c>
      <c r="AO95" s="2" t="s">
        <v>266</v>
      </c>
      <c r="AP95" t="s">
        <v>17</v>
      </c>
      <c r="AQ95" t="s">
        <v>17</v>
      </c>
      <c r="AR95" t="s">
        <v>17</v>
      </c>
      <c r="AS95" t="s">
        <v>17</v>
      </c>
      <c r="AT95" s="12" t="s">
        <v>343</v>
      </c>
      <c r="AU95" s="12" t="s">
        <v>338</v>
      </c>
      <c r="AV95" s="12"/>
    </row>
    <row r="96" spans="1:50" x14ac:dyDescent="0.35">
      <c r="A96" s="2" t="s">
        <v>245</v>
      </c>
      <c r="B96" s="32" t="s">
        <v>337</v>
      </c>
      <c r="C96" s="1" t="s">
        <v>336</v>
      </c>
      <c r="D96" s="11" t="s">
        <v>332</v>
      </c>
      <c r="E96" s="12" t="s">
        <v>31</v>
      </c>
      <c r="F96" s="12">
        <v>9</v>
      </c>
      <c r="G96" s="2" t="s">
        <v>253</v>
      </c>
      <c r="H96" s="12">
        <v>4</v>
      </c>
      <c r="I96" s="3">
        <f>100*4/9</f>
        <v>44.444444444444443</v>
      </c>
      <c r="J96" s="12" t="s">
        <v>17</v>
      </c>
      <c r="K96" s="12" t="s">
        <v>17</v>
      </c>
      <c r="L96" s="12" t="s">
        <v>17</v>
      </c>
      <c r="M96" s="12" t="s">
        <v>264</v>
      </c>
      <c r="N96" s="14" t="s">
        <v>259</v>
      </c>
      <c r="O96" s="34">
        <f>1.44*10^4</f>
        <v>14400</v>
      </c>
      <c r="P96" s="15" t="s">
        <v>294</v>
      </c>
      <c r="Q96" s="12">
        <v>4</v>
      </c>
      <c r="R96" s="2" t="s">
        <v>266</v>
      </c>
      <c r="S96" s="2" t="s">
        <v>266</v>
      </c>
      <c r="T96" s="7" t="s">
        <v>17</v>
      </c>
      <c r="U96" s="2" t="s">
        <v>17</v>
      </c>
      <c r="V96"/>
      <c r="W96"/>
      <c r="Y96" s="7">
        <v>4700</v>
      </c>
      <c r="Z96" s="7">
        <v>7190000</v>
      </c>
      <c r="AA96" s="2" t="s">
        <v>312</v>
      </c>
      <c r="AB96" s="2" t="s">
        <v>306</v>
      </c>
      <c r="AC96" s="2" t="s">
        <v>17</v>
      </c>
      <c r="AD96" s="2" t="s">
        <v>17</v>
      </c>
      <c r="AE96" s="2" t="s">
        <v>17</v>
      </c>
      <c r="AF96" s="2" t="s">
        <v>17</v>
      </c>
      <c r="AG96" s="15" t="s">
        <v>297</v>
      </c>
      <c r="AH96" s="15" t="s">
        <v>463</v>
      </c>
      <c r="AI96" s="2" t="s">
        <v>17</v>
      </c>
      <c r="AJ96" s="2" t="s">
        <v>17</v>
      </c>
      <c r="AK96" s="2" t="s">
        <v>17</v>
      </c>
      <c r="AL96" s="2" t="s">
        <v>17</v>
      </c>
      <c r="AM96" s="2">
        <v>4</v>
      </c>
      <c r="AN96" s="2">
        <v>7</v>
      </c>
      <c r="AO96" s="2" t="s">
        <v>266</v>
      </c>
      <c r="AP96" s="2" t="s">
        <v>17</v>
      </c>
      <c r="AQ96" s="2" t="s">
        <v>17</v>
      </c>
      <c r="AR96">
        <v>3</v>
      </c>
      <c r="AS96" s="2">
        <v>4</v>
      </c>
      <c r="AT96" s="2" t="s">
        <v>259</v>
      </c>
      <c r="AU96" s="12" t="s">
        <v>338</v>
      </c>
      <c r="AV96" s="12"/>
      <c r="AW96" s="12"/>
    </row>
    <row r="97" spans="1:49" x14ac:dyDescent="0.35">
      <c r="A97" s="2" t="s">
        <v>245</v>
      </c>
      <c r="B97" s="33" t="s">
        <v>340</v>
      </c>
      <c r="C97" s="1" t="s">
        <v>341</v>
      </c>
      <c r="D97" s="11" t="s">
        <v>332</v>
      </c>
      <c r="E97" s="12" t="s">
        <v>31</v>
      </c>
      <c r="F97" s="12">
        <v>559</v>
      </c>
      <c r="G97" s="2" t="s">
        <v>253</v>
      </c>
      <c r="H97" s="12" t="s">
        <v>17</v>
      </c>
      <c r="I97" s="3">
        <v>36</v>
      </c>
      <c r="J97" s="12" t="s">
        <v>17</v>
      </c>
      <c r="K97" s="12" t="s">
        <v>17</v>
      </c>
      <c r="L97" s="12" t="s">
        <v>17</v>
      </c>
      <c r="M97" s="14" t="s">
        <v>17</v>
      </c>
      <c r="N97" s="14" t="s">
        <v>259</v>
      </c>
      <c r="O97" s="34" t="s">
        <v>17</v>
      </c>
      <c r="P97" s="15" t="s">
        <v>295</v>
      </c>
      <c r="Q97" s="12">
        <v>49</v>
      </c>
      <c r="R97" s="2" t="s">
        <v>17</v>
      </c>
      <c r="S97" s="2" t="s">
        <v>17</v>
      </c>
      <c r="T97" s="2" t="s">
        <v>17</v>
      </c>
      <c r="U97" s="2" t="s">
        <v>17</v>
      </c>
      <c r="V97" s="2" t="s">
        <v>17</v>
      </c>
      <c r="W97" s="2" t="s">
        <v>17</v>
      </c>
      <c r="X97" s="2" t="s">
        <v>17</v>
      </c>
      <c r="Y97" s="8">
        <v>16000</v>
      </c>
      <c r="Z97" s="8">
        <v>130000</v>
      </c>
      <c r="AA97" s="2" t="s">
        <v>312</v>
      </c>
      <c r="AB97" s="2" t="s">
        <v>339</v>
      </c>
      <c r="AC97" s="2" t="s">
        <v>17</v>
      </c>
      <c r="AD97" s="2" t="s">
        <v>17</v>
      </c>
      <c r="AE97" s="2" t="s">
        <v>17</v>
      </c>
      <c r="AF97" s="2" t="s">
        <v>17</v>
      </c>
      <c r="AG97" s="15" t="s">
        <v>327</v>
      </c>
      <c r="AH97" s="15" t="s">
        <v>463</v>
      </c>
      <c r="AI97" s="2" t="s">
        <v>17</v>
      </c>
      <c r="AJ97" s="2" t="s">
        <v>17</v>
      </c>
      <c r="AK97" s="2" t="s">
        <v>17</v>
      </c>
      <c r="AL97" s="2" t="s">
        <v>17</v>
      </c>
      <c r="AM97" s="42" t="s">
        <v>17</v>
      </c>
      <c r="AN97" s="42" t="s">
        <v>17</v>
      </c>
      <c r="AO97" s="2" t="s">
        <v>259</v>
      </c>
      <c r="AP97" s="2" t="s">
        <v>439</v>
      </c>
      <c r="AQ97" s="38">
        <v>7</v>
      </c>
      <c r="AS97" s="2">
        <v>6</v>
      </c>
      <c r="AT97" s="2" t="s">
        <v>17</v>
      </c>
      <c r="AU97" s="12" t="s">
        <v>207</v>
      </c>
      <c r="AV97" s="12" t="s">
        <v>259</v>
      </c>
      <c r="AW97" s="12">
        <v>6</v>
      </c>
    </row>
    <row r="98" spans="1:49" x14ac:dyDescent="0.35">
      <c r="A98" s="2" t="s">
        <v>246</v>
      </c>
      <c r="B98" s="29" t="s">
        <v>445</v>
      </c>
      <c r="C98" s="1" t="s">
        <v>446</v>
      </c>
      <c r="D98" s="11" t="s">
        <v>328</v>
      </c>
      <c r="E98" s="12" t="s">
        <v>16</v>
      </c>
      <c r="F98" s="12">
        <v>231</v>
      </c>
      <c r="G98" s="2" t="s">
        <v>253</v>
      </c>
      <c r="H98">
        <v>136</v>
      </c>
      <c r="I98" s="3">
        <v>59</v>
      </c>
      <c r="J98" t="s">
        <v>17</v>
      </c>
      <c r="K98" t="s">
        <v>17</v>
      </c>
      <c r="L98" t="s">
        <v>17</v>
      </c>
      <c r="M98" s="14" t="s">
        <v>264</v>
      </c>
      <c r="N98" s="14" t="s">
        <v>266</v>
      </c>
      <c r="O98" s="34" t="s">
        <v>17</v>
      </c>
      <c r="P98" s="34" t="s">
        <v>17</v>
      </c>
      <c r="Q98" s="34" t="s">
        <v>17</v>
      </c>
      <c r="R98" s="34" t="s">
        <v>17</v>
      </c>
      <c r="S98" s="34" t="s">
        <v>17</v>
      </c>
      <c r="T98" s="34" t="s">
        <v>17</v>
      </c>
      <c r="U98" s="34" t="s">
        <v>17</v>
      </c>
      <c r="V98" s="34" t="s">
        <v>17</v>
      </c>
      <c r="W98" s="34" t="s">
        <v>17</v>
      </c>
      <c r="X98" s="34" t="s">
        <v>17</v>
      </c>
      <c r="Y98" s="34" t="s">
        <v>17</v>
      </c>
      <c r="Z98" s="34" t="s">
        <v>17</v>
      </c>
      <c r="AA98" s="34" t="s">
        <v>17</v>
      </c>
      <c r="AB98" s="34" t="s">
        <v>17</v>
      </c>
      <c r="AC98" s="34" t="s">
        <v>17</v>
      </c>
      <c r="AD98" s="34" t="s">
        <v>17</v>
      </c>
      <c r="AE98" s="34" t="s">
        <v>17</v>
      </c>
      <c r="AF98" s="34" t="s">
        <v>17</v>
      </c>
      <c r="AG98" s="34" t="s">
        <v>17</v>
      </c>
      <c r="AH98" s="34"/>
      <c r="AJ98" s="5">
        <v>0</v>
      </c>
      <c r="AK98" s="5" t="s">
        <v>449</v>
      </c>
      <c r="AM98" s="5">
        <v>0</v>
      </c>
      <c r="AN98" s="5" t="s">
        <v>449</v>
      </c>
      <c r="AO98" s="2" t="s">
        <v>259</v>
      </c>
      <c r="AP98" s="2" t="s">
        <v>448</v>
      </c>
      <c r="AQ98" t="s">
        <v>447</v>
      </c>
      <c r="AS98" s="2">
        <v>136</v>
      </c>
      <c r="AT98" s="2" t="s">
        <v>259</v>
      </c>
      <c r="AU98" s="2" t="s">
        <v>450</v>
      </c>
    </row>
  </sheetData>
  <autoFilter ref="A1:AX98" xr:uid="{E15574AA-47CA-4934-BF30-49AB38076E1C}">
    <sortState xmlns:xlrd2="http://schemas.microsoft.com/office/spreadsheetml/2017/richdata2" ref="A2:AX89">
      <sortCondition ref="A1:A89"/>
    </sortState>
  </autoFilter>
  <phoneticPr fontId="3" type="noConversion"/>
  <hyperlinks>
    <hyperlink ref="B15" r:id="rId1" display="Poissy et al 2014" xr:uid="{3F34AF12-AC9C-41D7-AEE5-FD5CC7AE99FC}"/>
    <hyperlink ref="B16" r:id="rId2" display="Drosten et al 2013" xr:uid="{5799ECBA-6A5F-4E99-B068-28D05F440BA1}"/>
    <hyperlink ref="B19" r:id="rId3" xr:uid="{BA04BEC6-CAED-4E2E-A909-2C7F94067FA7}"/>
    <hyperlink ref="B21" r:id="rId4" xr:uid="{77F07149-6956-42C7-B5C7-2BE2FFA4E23E}"/>
    <hyperlink ref="B35" r:id="rId5" xr:uid="{1C621ECB-1673-4697-8690-CE2A35449596}"/>
    <hyperlink ref="B50" r:id="rId6" display="Yagci-Caglayik et al 2020" xr:uid="{7E877400-F5D7-44C1-ABD7-1483E95F30C8}"/>
    <hyperlink ref="B64" r:id="rId7" xr:uid="{AD5C34D9-3139-4D69-8308-20A63BC7429F}"/>
    <hyperlink ref="B71" r:id="rId8" xr:uid="{6D0255D3-DA4B-4C4E-BCDE-158A430FD983}"/>
    <hyperlink ref="B73" r:id="rId9" xr:uid="{A9E3CDCA-B590-43EC-8565-52BD485903B4}"/>
    <hyperlink ref="B60" r:id="rId10" xr:uid="{38DF2FB8-58F6-4E5C-BFE2-DBF87D2EBEF5}"/>
    <hyperlink ref="B47" r:id="rId11" location="f02 " display="Goh et al 2000" xr:uid="{8B961EC9-7817-4B93-A8CB-BC68DE0AEA3F}"/>
    <hyperlink ref="B48" r:id="rId12" xr:uid="{8FB18F67-F43A-4429-862A-CDEC589CCD51}"/>
    <hyperlink ref="B49" r:id="rId13" display="https://doi.org/10.3201/eid1202.051247" xr:uid="{F5255223-F3AF-47D0-B2EE-00B626DE80F4}"/>
    <hyperlink ref="B13" r:id="rId14" display="https://doi.org/10.1093/cid/civ951" xr:uid="{38A99869-3691-410C-8045-241A9993A89B}"/>
    <hyperlink ref="B45" r:id="rId15" display="https://doi.org/10.1086/508494" xr:uid="{FC0D63AB-92E5-4D3E-8EE7-F00A98E120E2}"/>
    <hyperlink ref="B44" r:id="rId16" xr:uid="{754DB5F2-7BD2-478D-A1BF-1496171D93D9}"/>
    <hyperlink ref="B31" r:id="rId17" xr:uid="{61DAC87B-73AB-48DD-8FB0-CB5E469F5F25}"/>
    <hyperlink ref="B33" r:id="rId18" xr:uid="{94CFD65D-7818-4458-A7A2-CC2E5C9FEC0C}"/>
    <hyperlink ref="B27" r:id="rId19" xr:uid="{AF9825A4-1EB2-48CB-82D1-18B7FF265FC7}"/>
    <hyperlink ref="B26" r:id="rId20" xr:uid="{44C423FC-87D0-4E6E-A497-2F01F81EAB6B}"/>
    <hyperlink ref="B24" r:id="rId21" display="https://doi.org/10.1056/nejmoa1409838" xr:uid="{4917BFDF-485C-4D37-9ED9-1EE9364026C8}"/>
    <hyperlink ref="B85" r:id="rId22" xr:uid="{F1F7A6DC-500C-44BA-87AC-E3244E386B00}"/>
    <hyperlink ref="B86" r:id="rId23" tooltip="http://dx.doi.org/10.34297/AJBSR.2021.12.001728" display="http://dx.doi.org/10.34297/AJBSR.2021.12.001728" xr:uid="{7133E2D0-7F95-4088-92B5-B1F0534C0C6F}"/>
    <hyperlink ref="B89" r:id="rId24" xr:uid="{CC44D9D5-CAEC-4143-A9BC-5BA3AD3BC0CD}"/>
    <hyperlink ref="B53" r:id="rId25" display="https://doi.org/10.3201/eid3008.240036" xr:uid="{9B1EFD9A-7B11-4675-BC3A-F577BD8C275D}"/>
    <hyperlink ref="B54" r:id="rId26" display="https://doi.org/10.1016/j.ijid.2009.04.018" xr:uid="{8580441E-7ECE-43CD-B374-76EC6DC4B6A3}"/>
    <hyperlink ref="B52" r:id="rId27" display="https://doi.org/10.1089/vbz.2011.0776" xr:uid="{F6511BC8-17BC-44EA-A9A5-8D0760DBBF3A}"/>
    <hyperlink ref="B55" r:id="rId28" display="https://doi.org/10.1371/journal.pntd.0009718" xr:uid="{7E9862A4-2CAC-4793-B3B6-1245EC853597}"/>
    <hyperlink ref="B11" r:id="rId29" xr:uid="{1E630822-14EF-4C48-BA18-AD6F0E11C53E}"/>
    <hyperlink ref="B59" r:id="rId30" xr:uid="{CD9F3383-BADB-4312-A7AF-4A9AA9C6AED5}"/>
    <hyperlink ref="B82" r:id="rId31" xr:uid="{64544E54-FBAE-4551-8DEF-AC008260E065}"/>
    <hyperlink ref="B81" r:id="rId32" xr:uid="{133D9539-80CD-419D-B455-7664B5AACF9F}"/>
    <hyperlink ref="B79" r:id="rId33" xr:uid="{51EF76E8-3AEF-4329-BC7E-A41F67069543}"/>
    <hyperlink ref="B78" r:id="rId34" xr:uid="{5AD3C7A0-3A64-4CA9-A99A-1BEF0B27AF71}"/>
    <hyperlink ref="B75" r:id="rId35" xr:uid="{1A0758C0-2192-46D8-93F0-E0A67E4E3E29}"/>
    <hyperlink ref="B67" r:id="rId36" xr:uid="{F32F8469-6834-4428-98F6-078EA601AB8B}"/>
    <hyperlink ref="B14" r:id="rId37" display="https://doi.org/10.1093/cid/civ951" xr:uid="{7788DFBF-EA0E-45BE-B40E-AF55DDB8EDD0}"/>
    <hyperlink ref="B17" r:id="rId38" display="Drosten et al 2013" xr:uid="{C39FF5B0-B279-4D92-B07C-2C81BFD70945}"/>
    <hyperlink ref="B20" r:id="rId39" xr:uid="{176E3D7D-3126-42B4-A090-CE0ED7C69886}"/>
    <hyperlink ref="B22" r:id="rId40" xr:uid="{EA9CACA0-C694-44D4-8E8F-574DB8777C35}"/>
    <hyperlink ref="B34" r:id="rId41" xr:uid="{91BCD9A8-4779-4589-99F2-4AD881B8D427}"/>
    <hyperlink ref="B36" r:id="rId42" xr:uid="{BA2EE2AA-D8C2-462A-8E80-15292B843465}"/>
    <hyperlink ref="B6" r:id="rId43" xr:uid="{8802E9F2-00E0-4E7A-936E-DAE2F1D00D0D}"/>
    <hyperlink ref="B51" r:id="rId44" display="Yagci-Caglayik et al 2020" xr:uid="{F225A131-3EC2-4B7B-AF23-5CA05B717FE3}"/>
    <hyperlink ref="B65" r:id="rId45" xr:uid="{89334D8B-6AE9-465C-B608-12746CF349D9}"/>
    <hyperlink ref="B72" r:id="rId46" xr:uid="{01DD815B-F4FC-4623-B78C-E2AF2948AA83}"/>
    <hyperlink ref="B74" r:id="rId47" xr:uid="{D538A3A9-FB07-4BAF-8A65-DC8D032EDA5E}"/>
    <hyperlink ref="B61" r:id="rId48" xr:uid="{CDE19F79-1E81-44F4-B7B4-437C04250CAD}"/>
    <hyperlink ref="B46" r:id="rId49" xr:uid="{B08C9AC7-D062-444D-9C4F-AB81E51CFA41}"/>
    <hyperlink ref="B18" r:id="rId50" xr:uid="{4E0FEC1B-2FCF-4953-B480-29B45F0F2660}"/>
    <hyperlink ref="B32" r:id="rId51" xr:uid="{56D30967-4099-403F-86A2-2B3D1275EE0A}"/>
    <hyperlink ref="B10" r:id="rId52" xr:uid="{320BCFCB-F8A8-4898-BEC7-92D007680873}"/>
    <hyperlink ref="B9" r:id="rId53" xr:uid="{0807362B-DBEC-4DC6-A6E5-120A5D058DF4}"/>
    <hyperlink ref="B8" r:id="rId54" xr:uid="{6266E054-7A95-4200-88A4-7BC1D13F20D4}"/>
    <hyperlink ref="B70" r:id="rId55" xr:uid="{76F5D7E6-5C47-4016-BD1C-A761B3A19737}"/>
    <hyperlink ref="B30" r:id="rId56" xr:uid="{FFC4B074-8A48-48FC-9049-E65692001725}"/>
    <hyperlink ref="B37" r:id="rId57" xr:uid="{4B0DA02D-2CA9-49A0-BE4E-2F571BE893A0}"/>
    <hyperlink ref="B39" r:id="rId58" tooltip="Persistent link using digital object identifier" xr:uid="{0ADB058D-4E3E-460A-89E3-E86F402D36FB}"/>
    <hyperlink ref="B40" r:id="rId59" xr:uid="{645E249F-25D7-4287-ADDE-2FAFFE2D5F94}"/>
    <hyperlink ref="B42" r:id="rId60" xr:uid="{B5951894-C487-45E2-B78A-6779C8B29A23}"/>
    <hyperlink ref="B41" r:id="rId61" xr:uid="{F2DA9573-F105-4420-8974-0B99329DCCAB}"/>
    <hyperlink ref="B38" r:id="rId62" xr:uid="{2FBB24B6-5C1A-4726-97B7-852053242464}"/>
    <hyperlink ref="B23" r:id="rId63" xr:uid="{888B30C3-47B9-4935-B55E-25C797F84EFF}"/>
    <hyperlink ref="B63" r:id="rId64" xr:uid="{49B677D8-BE68-44E6-89E1-C1CC9C35B951}"/>
    <hyperlink ref="B7" r:id="rId65" xr:uid="{A2D658A9-8838-438A-81C3-5FB726F54EFA}"/>
    <hyperlink ref="B56" r:id="rId66" xr:uid="{8241840C-8A28-42F2-8629-3B55159DB07E}"/>
    <hyperlink ref="B57" r:id="rId67" xr:uid="{2F3DFE9E-5B54-4E53-85EF-94B3635060E9}"/>
    <hyperlink ref="B58" r:id="rId68" xr:uid="{B9830D29-AED3-4020-AACE-85D85ADF67BE}"/>
    <hyperlink ref="B62" r:id="rId69" xr:uid="{A72C55A5-4038-40CF-AB8D-56957D3D20AC}"/>
    <hyperlink ref="B12" r:id="rId70" xr:uid="{6E542849-FD02-4035-BA33-07C444AA2F9B}"/>
    <hyperlink ref="B25" r:id="rId71" xr:uid="{F627095B-26DC-4833-AE43-6E06B11B1421}"/>
    <hyperlink ref="B28" r:id="rId72" xr:uid="{C9BDE99E-185C-46E1-A583-6F9084FB5E20}"/>
    <hyperlink ref="I23" r:id="rId73" xr:uid="{D31D871E-4F79-486F-A50C-84EF6C235E1C}"/>
    <hyperlink ref="B84" r:id="rId74" xr:uid="{89CF1546-C5B4-4A8B-8350-4AC69557C6A9}"/>
    <hyperlink ref="B87" r:id="rId75" xr:uid="{C85505B9-E908-49B4-858C-3B56438D16AA}"/>
    <hyperlink ref="B66" r:id="rId76" xr:uid="{4EA5F9F9-69A1-4225-8914-ABBE938ECB16}"/>
    <hyperlink ref="B68" r:id="rId77" xr:uid="{30027B21-F75C-4EA9-A14A-B903ABA22D78}"/>
    <hyperlink ref="B69" r:id="rId78" xr:uid="{867DEDC4-8485-4DC3-B2D5-B8A4161F4A42}"/>
    <hyperlink ref="B76" r:id="rId79" xr:uid="{8DEBA9A0-FE42-46EA-A9F7-B6BB65711B1C}"/>
    <hyperlink ref="B77" r:id="rId80" xr:uid="{093CDDAE-FD66-474C-9045-2D8C3C49BDAE}"/>
    <hyperlink ref="B83" r:id="rId81" xr:uid="{2D534258-53DB-490A-8AF8-EF1FF7E0237A}"/>
    <hyperlink ref="B90" r:id="rId82" xr:uid="{9BAE2E12-B3E2-4A70-8067-653410CC5140}"/>
    <hyperlink ref="B94" r:id="rId83" xr:uid="{A0D78D4A-8D7F-4EF6-9259-46E409623506}"/>
    <hyperlink ref="B95" r:id="rId84" xr:uid="{B31B1F38-6EA2-4E77-9D92-96CD9CF0C6B7}"/>
    <hyperlink ref="B97" r:id="rId85" xr:uid="{69903623-FD35-4472-8E57-CD12A097DDA5}"/>
    <hyperlink ref="B96" r:id="rId86" xr:uid="{C1F39EBC-B74E-4327-B519-986418C22F9C}"/>
  </hyperlinks>
  <pageMargins left="0.7" right="0.7" top="0.75" bottom="0.75" header="0.3" footer="0.3"/>
  <drawing r:id="rId8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Dighe, Amy B</dc:creator>
  <cp:lastModifiedBy>Dighe, Amy B</cp:lastModifiedBy>
  <dcterms:created xsi:type="dcterms:W3CDTF">2026-02-12T12:11:01Z</dcterms:created>
  <dcterms:modified xsi:type="dcterms:W3CDTF">2026-09-11T17:27:26Z</dcterms:modified>
</cp:coreProperties>
</file>